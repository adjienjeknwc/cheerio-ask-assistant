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Volume" sheetId="2" state="visible" r:id="rId2"/>
    <sheet name="Cost" sheetId="3" state="visible" r:id="rId3"/>
    <sheet name="Savings" sheetId="4" state="visible" r:id="rId4"/>
    <sheet name="Billing" sheetId="5" state="visible" r:id="rId5"/>
    <sheet name="Sensitivity" sheetId="6" state="visible" r:id="rId6"/>
    <sheet name="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"/>
    <numFmt numFmtId="166" formatCode="$#,##0.00"/>
    <numFmt numFmtId="167" formatCode="$#,##0.000000"/>
    <numFmt numFmtId="168" formatCode="₹#,##0"/>
    <numFmt numFmtId="169" formatCode="₹#,##0.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3.5"/>
    </font>
    <font>
      <name val="Segoe UI"/>
      <i val="1"/>
      <color rgb="00E2E8F0"/>
      <sz val="9"/>
    </font>
    <font>
      <name val="Segoe UI"/>
      <b val="1"/>
      <color rgb="001E293B"/>
      <sz val="9"/>
    </font>
    <font>
      <name val="Segoe UI"/>
      <b val="1"/>
      <color rgb="00FFFFFF"/>
      <sz val="10"/>
    </font>
    <font>
      <name val="Segoe UI"/>
      <i val="1"/>
      <color rgb="0064748B"/>
      <sz val="8.5"/>
    </font>
    <font>
      <name val="Segoe UI"/>
      <color rgb="00000000"/>
      <sz val="9"/>
    </font>
    <font>
      <name val="Segoe UI"/>
      <b val="1"/>
      <color rgb="00002080"/>
      <sz val="9"/>
    </font>
    <font>
      <name val="Segoe UI"/>
      <b val="1"/>
      <color rgb="00000000"/>
      <sz val="9"/>
    </font>
    <font>
      <name val="Segoe UI"/>
      <b val="1"/>
      <color rgb="00065F46"/>
      <sz val="8.5"/>
    </font>
    <font>
      <name val="Segoe UI"/>
      <b val="1"/>
      <color rgb="00991B1B"/>
      <sz val="8.5"/>
    </font>
    <font>
      <name val="Segoe UI"/>
      <b val="1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0F7FF"/>
        <bgColor rgb="00F0F7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0" fontId="8" fillId="6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right" vertical="center"/>
    </xf>
    <xf numFmtId="10" fontId="8" fillId="6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6" fontId="8" fillId="6" borderId="2" applyAlignment="1" pivotButton="0" quotePrefix="0" xfId="0">
      <alignment horizontal="right" vertical="center"/>
    </xf>
    <xf numFmtId="167" fontId="8" fillId="6" borderId="2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169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8" fillId="7" borderId="2" applyAlignment="1" pivotButton="0" quotePrefix="0" xfId="0">
      <alignment horizontal="right" vertical="center"/>
    </xf>
    <xf numFmtId="4" fontId="8" fillId="7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9" fontId="8" fillId="6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69" fontId="8" fillId="6" borderId="2" applyAlignment="1" pivotButton="0" quotePrefix="0" xfId="0">
      <alignment horizontal="right" vertical="center"/>
    </xf>
    <xf numFmtId="169" fontId="6" fillId="7" borderId="2" applyAlignment="1" pivotButton="0" quotePrefix="0" xfId="0">
      <alignment horizontal="right" vertical="center"/>
    </xf>
    <xf numFmtId="3" fontId="6" fillId="7" borderId="2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169" fontId="8" fillId="0" borderId="2" applyAlignment="1" pivotButton="0" quotePrefix="0" xfId="0">
      <alignment horizontal="right" vertical="center"/>
    </xf>
    <xf numFmtId="169" fontId="8" fillId="7" borderId="2" applyAlignment="1" pivotButton="0" quotePrefix="0" xfId="0">
      <alignment horizontal="right" vertical="center"/>
    </xf>
    <xf numFmtId="169" fontId="6" fillId="0" borderId="2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8" fillId="6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0" fontId="5" fillId="0" borderId="0" pivotButton="0" quotePrefix="0" xfId="0"/>
    <xf numFmtId="0" fontId="8" fillId="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8" customWidth="1" min="4" max="4"/>
    <col width="20" customWidth="1" min="5" max="5"/>
    <col width="68" customWidth="1" min="6" max="6"/>
  </cols>
  <sheetData>
    <row r="1" ht="26" customHeight="1">
      <c r="A1" s="1" t="inlineStr">
        <is>
          <t>Cheerio AI — Customer Support Assistant Financial, Cost &amp; Billing Model</t>
        </is>
      </c>
    </row>
    <row r="2" ht="18" customHeight="1">
      <c r="A2" s="2" t="inlineStr">
        <is>
          <t>Live financial engineering model for AI-driven WhatsApp support automation • All baseline inputs and operational parameters</t>
        </is>
      </c>
    </row>
    <row r="3" ht="8" customHeight="1"/>
    <row r="4" ht="24" customHeight="1">
      <c r="A4" s="3" t="inlineStr">
        <is>
          <t>Ref #</t>
        </is>
      </c>
      <c r="B4" s="4" t="inlineStr">
        <is>
          <t>Parameter / Assumption 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Type / Source</t>
        </is>
      </c>
      <c r="F4" s="4" t="inlineStr">
        <is>
          <t>Notes &amp; Operational Rationale</t>
        </is>
      </c>
    </row>
    <row r="5" ht="22" customHeight="1">
      <c r="A5" s="5" t="inlineStr">
        <is>
          <t>1. CUSTOMER BASE &amp; QUERY VOLUME ASSUMPTIONS</t>
        </is>
      </c>
    </row>
    <row r="6" ht="20" customHeight="1">
      <c r="A6" s="6" t="inlineStr">
        <is>
          <t>A_BUS_ACT</t>
        </is>
      </c>
      <c r="B6" s="7" t="inlineStr">
        <is>
          <t>Active businesses</t>
        </is>
      </c>
      <c r="C6" s="8" t="n">
        <v>5000</v>
      </c>
      <c r="D6" s="9" t="inlineStr">
        <is>
          <t>Businesses</t>
        </is>
      </c>
      <c r="E6" s="6" t="inlineStr">
        <is>
          <t>Platform Input</t>
        </is>
      </c>
      <c r="F6" s="10" t="inlineStr">
        <is>
          <t>Total active/paying SMB customer accounts on Cheerio WhatsApp platform</t>
        </is>
      </c>
    </row>
    <row r="7" ht="20" customHeight="1">
      <c r="A7" s="6" t="inlineStr">
        <is>
          <t>A_BUS_SETUP</t>
        </is>
      </c>
      <c r="B7" s="7" t="inlineStr">
        <is>
          <t>Share of businesses in setup phase</t>
        </is>
      </c>
      <c r="C7" s="11" t="n">
        <v>0.15</v>
      </c>
      <c r="D7" s="9" t="inlineStr">
        <is>
          <t>%</t>
        </is>
      </c>
      <c r="E7" s="6" t="inlineStr">
        <is>
          <t>Platform Input</t>
        </is>
      </c>
      <c r="F7" s="10" t="inlineStr">
        <is>
          <t>Proportion of businesses actively onboarding, configuring WABA &amp; templates</t>
        </is>
      </c>
    </row>
    <row r="8" ht="20" customHeight="1">
      <c r="A8" s="6" t="inlineStr">
        <is>
          <t>A_QRY_SETUP</t>
        </is>
      </c>
      <c r="B8" s="7" t="inlineStr">
        <is>
          <t>Queries per month, setup-phase business</t>
        </is>
      </c>
      <c r="C8" s="12" t="n">
        <v>3</v>
      </c>
      <c r="D8" s="9" t="inlineStr">
        <is>
          <t>Queries / biz / mo</t>
        </is>
      </c>
      <c r="E8" s="6" t="inlineStr">
        <is>
          <t>Empirical Input</t>
        </is>
      </c>
      <c r="F8" s="10" t="inlineStr">
        <is>
          <t>High inquiry frequency during initial WABA setup, verification &amp; catalog sync</t>
        </is>
      </c>
    </row>
    <row r="9" ht="20" customHeight="1">
      <c r="A9" s="6" t="inlineStr">
        <is>
          <t>A_QRY_EST</t>
        </is>
      </c>
      <c r="B9" s="7" t="inlineStr">
        <is>
          <t>Queries per month, established business</t>
        </is>
      </c>
      <c r="C9" s="12" t="n">
        <v>0.4</v>
      </c>
      <c r="D9" s="9" t="inlineStr">
        <is>
          <t>Queries / biz / mo</t>
        </is>
      </c>
      <c r="E9" s="6" t="inlineStr">
        <is>
          <t>Empirical Input</t>
        </is>
      </c>
      <c r="F9" s="10" t="inlineStr">
        <is>
          <t>Steady-state support volume for live operational campaigns and broadcast flows</t>
        </is>
      </c>
    </row>
    <row r="10" ht="22" customHeight="1">
      <c r="A10" s="5" t="inlineStr">
        <is>
          <t>2. AI RESOLUTION TARGETS &amp; ISSUE MIX (STEADY STATE)</t>
        </is>
      </c>
    </row>
    <row r="11" ht="20" customHeight="1">
      <c r="A11" s="6" t="inlineStr">
        <is>
          <t>A_RES_M3</t>
        </is>
      </c>
      <c r="B11" s="13" t="inlineStr">
        <is>
          <t>AI resolution rate (Month-3 target)</t>
        </is>
      </c>
      <c r="C11" s="11" t="n">
        <v>0.4</v>
      </c>
      <c r="D11" s="9" t="inlineStr">
        <is>
          <t>%</t>
        </is>
      </c>
      <c r="E11" s="6" t="inlineStr">
        <is>
          <t>Target Input</t>
        </is>
      </c>
      <c r="F11" s="10" t="inlineStr">
        <is>
          <t>Conservative milestone target for early deployment across core intents</t>
        </is>
      </c>
    </row>
    <row r="12" ht="20" customHeight="1">
      <c r="A12" s="6" t="inlineStr">
        <is>
          <t>A_RES_SS</t>
        </is>
      </c>
      <c r="B12" s="13" t="inlineStr">
        <is>
          <t>AI resolution rate (Steady state)</t>
        </is>
      </c>
      <c r="C12" s="14">
        <f>E20</f>
        <v/>
      </c>
      <c r="D12" s="9" t="inlineStr">
        <is>
          <t>%</t>
        </is>
      </c>
      <c r="E12" s="6" t="inlineStr">
        <is>
          <t>Model Formula</t>
        </is>
      </c>
      <c r="F12" s="10" t="inlineStr">
        <is>
          <t>Weighted average resolution rate calculated from category breakdown below (=47.75%)</t>
        </is>
      </c>
    </row>
    <row r="13" ht="22" customHeight="1">
      <c r="A13" s="3" t="inlineStr">
        <is>
          <t>Cat ID</t>
        </is>
      </c>
      <c r="B13" s="4" t="inlineStr">
        <is>
          <t>Support Issue Category</t>
        </is>
      </c>
      <c r="C13" s="3" t="inlineStr">
        <is>
          <t>Mix %</t>
        </is>
      </c>
      <c r="D13" s="3" t="inlineStr">
        <is>
          <t>AI Resolution %</t>
        </is>
      </c>
      <c r="E13" s="3" t="inlineStr">
        <is>
          <t>Weighted Contribution</t>
        </is>
      </c>
      <c r="F13" s="4" t="inlineStr">
        <is>
          <t>Scope &amp; Complexity Description</t>
        </is>
      </c>
    </row>
    <row r="14" ht="20" customHeight="1">
      <c r="A14" s="6" t="inlineStr">
        <is>
          <t>CAT_1</t>
        </is>
      </c>
      <c r="B14" s="7" t="inlineStr">
        <is>
          <t>Setup &amp; Business Verification</t>
        </is>
      </c>
      <c r="C14" s="11" t="n">
        <v>0.25</v>
      </c>
      <c r="D14" s="11" t="n">
        <v>0.5</v>
      </c>
      <c r="E14" s="15">
        <f>C14*D14</f>
        <v/>
      </c>
      <c r="F14" s="10" t="inlineStr">
        <is>
          <t>Meta WABA phone registration, green tick, display name, ID verification</t>
        </is>
      </c>
    </row>
    <row r="15" ht="20" customHeight="1">
      <c r="A15" s="6" t="inlineStr">
        <is>
          <t>CAT_2</t>
        </is>
      </c>
      <c r="B15" s="7" t="inlineStr">
        <is>
          <t>Message Templates</t>
        </is>
      </c>
      <c r="C15" s="11" t="n">
        <v>0.2</v>
      </c>
      <c r="D15" s="11" t="n">
        <v>0.65</v>
      </c>
      <c r="E15" s="15">
        <f>C15*D15</f>
        <v/>
      </c>
      <c r="F15" s="10" t="inlineStr">
        <is>
          <t>Category rejections (Utility vs Marketing), variable formatting, buttons</t>
        </is>
      </c>
    </row>
    <row r="16" ht="20" customHeight="1">
      <c r="A16" s="6" t="inlineStr">
        <is>
          <t>CAT_3</t>
        </is>
      </c>
      <c r="B16" s="7" t="inlineStr">
        <is>
          <t>Delivery Failures &amp; Errors</t>
        </is>
      </c>
      <c r="C16" s="11" t="n">
        <v>0.15</v>
      </c>
      <c r="D16" s="11" t="n">
        <v>0.6</v>
      </c>
      <c r="E16" s="15">
        <f>C16*D16</f>
        <v/>
      </c>
      <c r="F16" s="10" t="inlineStr">
        <is>
          <t>Meta error codes 131026, 131047, recipient opt-in, spam block diagnostic</t>
        </is>
      </c>
    </row>
    <row r="17" ht="20" customHeight="1">
      <c r="A17" s="6" t="inlineStr">
        <is>
          <t>CAT_4</t>
        </is>
      </c>
      <c r="B17" s="7" t="inlineStr">
        <is>
          <t>Chatbot Automation &amp; Flows</t>
        </is>
      </c>
      <c r="C17" s="11" t="n">
        <v>0.15</v>
      </c>
      <c r="D17" s="11" t="n">
        <v>0.45</v>
      </c>
      <c r="E17" s="15">
        <f>C17*D17</f>
        <v/>
      </c>
      <c r="F17" s="10" t="inlineStr">
        <is>
          <t>Flow builder branching, keyword triggers, webhook handoff rules</t>
        </is>
      </c>
    </row>
    <row r="18" ht="20" customHeight="1">
      <c r="A18" s="6" t="inlineStr">
        <is>
          <t>CAT_5</t>
        </is>
      </c>
      <c r="B18" s="7" t="inlineStr">
        <is>
          <t>E-commerce &amp; CRM Integrations</t>
        </is>
      </c>
      <c r="C18" s="11" t="n">
        <v>0.1</v>
      </c>
      <c r="D18" s="11" t="n">
        <v>0.35</v>
      </c>
      <c r="E18" s="15">
        <f>C18*D18</f>
        <v/>
      </c>
      <c r="F18" s="10" t="inlineStr">
        <is>
          <t>Shopify order sync, WooCommerce webhooks, Zapier connection errors</t>
        </is>
      </c>
    </row>
    <row r="19" ht="20" customHeight="1">
      <c r="A19" s="6" t="inlineStr">
        <is>
          <t>CAT_6</t>
        </is>
      </c>
      <c r="B19" s="7" t="inlineStr">
        <is>
          <t>Other / Billing / Account Inquiries</t>
        </is>
      </c>
      <c r="C19" s="11" t="n">
        <v>0.15</v>
      </c>
      <c r="D19" s="11" t="n">
        <v>0.2</v>
      </c>
      <c r="E19" s="15">
        <f>C19*D19</f>
        <v/>
      </c>
      <c r="F19" s="10" t="inlineStr">
        <is>
          <t>Out-of-scope queries (pricing, refunds, edge cases); routed to ticket</t>
        </is>
      </c>
    </row>
    <row r="20" ht="22" customHeight="1">
      <c r="A20" s="16" t="inlineStr">
        <is>
          <t>CAT_TOT</t>
        </is>
      </c>
      <c r="B20" s="17" t="inlineStr">
        <is>
          <t>Total Mix &amp; Steady-State Resolution</t>
        </is>
      </c>
      <c r="C20" s="18">
        <f>SUM(C14:C19)</f>
        <v/>
      </c>
      <c r="D20" s="16" t="inlineStr">
        <is>
          <t>-</t>
        </is>
      </c>
      <c r="E20" s="19">
        <f>SUM(E14:E19)</f>
        <v/>
      </c>
      <c r="F20" s="20" t="inlineStr">
        <is>
          <t>100.0% mix yields 47.75% steady-state blended AI resolution rate</t>
        </is>
      </c>
    </row>
    <row r="21" ht="22" customHeight="1">
      <c r="A21" s="5" t="inlineStr">
        <is>
          <t>3. CONVERSATION TOKEN &amp; LLM COST ASSUMPTIONS</t>
        </is>
      </c>
    </row>
    <row r="22" ht="20" customHeight="1">
      <c r="A22" s="6" t="inlineStr">
        <is>
          <t>A_MDL_SEL</t>
        </is>
      </c>
      <c r="B22" s="7" t="inlineStr">
        <is>
          <t>Selected AI Model</t>
        </is>
      </c>
      <c r="C22" s="21" t="inlineStr">
        <is>
          <t>Haiku 4.5</t>
        </is>
      </c>
      <c r="D22" s="9" t="inlineStr">
        <is>
          <t>Model Selector</t>
        </is>
      </c>
      <c r="E22" s="6" t="inlineStr">
        <is>
          <t>Dropdown / Input</t>
        </is>
      </c>
      <c r="F22" s="10" t="inlineStr">
        <is>
          <t>Choose 'Haiku 4.5' (production default) or 'Sonnet 4.6' (deep reasoning)</t>
        </is>
      </c>
    </row>
    <row r="23" ht="20" customHeight="1">
      <c r="A23" s="6" t="inlineStr">
        <is>
          <t>A_TURNS</t>
        </is>
      </c>
      <c r="B23" s="7" t="inlineStr">
        <is>
          <t>Turns per conversation</t>
        </is>
      </c>
      <c r="C23" s="8" t="n">
        <v>5</v>
      </c>
      <c r="D23" s="9" t="inlineStr">
        <is>
          <t>Turns / conv</t>
        </is>
      </c>
      <c r="E23" s="6" t="inlineStr">
        <is>
          <t>Empirical Input</t>
        </is>
      </c>
      <c r="F23" s="10" t="inlineStr">
        <is>
          <t>Average back-and-forth user &amp; assistant exchanges per support thread</t>
        </is>
      </c>
    </row>
    <row r="24" ht="20" customHeight="1">
      <c r="A24" s="6" t="inlineStr">
        <is>
          <t>A_IN_TOK</t>
        </is>
      </c>
      <c r="B24" s="7" t="inlineStr">
        <is>
          <t>Input tokens per turn</t>
        </is>
      </c>
      <c r="C24" s="8" t="n">
        <v>3500</v>
      </c>
      <c r="D24" s="9" t="inlineStr">
        <is>
          <t>Tokens / turn</t>
        </is>
      </c>
      <c r="E24" s="6" t="inlineStr">
        <is>
          <t>Architecture Input</t>
        </is>
      </c>
      <c r="F24" s="10" t="inlineStr">
        <is>
          <t>Includes system instructions, account state (WABA, templates), conversation history</t>
        </is>
      </c>
    </row>
    <row r="25" ht="20" customHeight="1">
      <c r="A25" s="6" t="inlineStr">
        <is>
          <t>A_OUT_TOK</t>
        </is>
      </c>
      <c r="B25" s="7" t="inlineStr">
        <is>
          <t>Output tokens per turn</t>
        </is>
      </c>
      <c r="C25" s="8" t="n">
        <v>250</v>
      </c>
      <c r="D25" s="9" t="inlineStr">
        <is>
          <t>Tokens / turn</t>
        </is>
      </c>
      <c r="E25" s="6" t="inlineStr">
        <is>
          <t>Architecture Input</t>
        </is>
      </c>
      <c r="F25" s="10" t="inlineStr">
        <is>
          <t>Concise, plain-language assistant answer, suggested fix card, and action payload</t>
        </is>
      </c>
    </row>
    <row r="26" ht="20" customHeight="1">
      <c r="A26" s="6" t="inlineStr">
        <is>
          <t>A_BUF</t>
        </is>
      </c>
      <c r="B26" s="7" t="inlineStr">
        <is>
          <t>Buffer for retries &amp; testing</t>
        </is>
      </c>
      <c r="C26" s="11" t="n">
        <v>0.3</v>
      </c>
      <c r="D26" s="9" t="inlineStr">
        <is>
          <t>%</t>
        </is>
      </c>
      <c r="E26" s="6" t="inlineStr">
        <is>
          <t>Safety Margin</t>
        </is>
      </c>
      <c r="F26" s="10" t="inlineStr">
        <is>
          <t>30% buffer covering internal test suites, tool retries, guardrails &amp; evals</t>
        </is>
      </c>
    </row>
    <row r="27" ht="20" customHeight="1">
      <c r="A27" s="6" t="inlineStr">
        <is>
          <t>A_FX_RATE</t>
        </is>
      </c>
      <c r="B27" s="7" t="inlineStr">
        <is>
          <t>USD to INR exchange rate</t>
        </is>
      </c>
      <c r="C27" s="22" t="n">
        <v>88</v>
      </c>
      <c r="D27" s="9" t="inlineStr">
        <is>
          <t>INR / USD</t>
        </is>
      </c>
      <c r="E27" s="6" t="inlineStr">
        <is>
          <t>Financial Input</t>
        </is>
      </c>
      <c r="F27" s="10" t="inlineStr">
        <is>
          <t>Foreign exchange conversion rate for API compute billing in INR</t>
        </is>
      </c>
    </row>
    <row r="28" ht="22" customHeight="1">
      <c r="A28" s="3" t="inlineStr">
        <is>
          <t>Model ID</t>
        </is>
      </c>
      <c r="B28" s="4" t="inlineStr">
        <is>
          <t>Model Reference</t>
        </is>
      </c>
      <c r="C28" s="3" t="inlineStr">
        <is>
          <t>Input Price ($/1M)</t>
        </is>
      </c>
      <c r="D28" s="3" t="inlineStr">
        <is>
          <t>Output Price ($/1M)</t>
        </is>
      </c>
      <c r="E28" s="3" t="inlineStr">
        <is>
          <t>Blended Base $/Conv</t>
        </is>
      </c>
      <c r="F28" s="4" t="inlineStr">
        <is>
          <t>Anthropic API Pricing Tier</t>
        </is>
      </c>
    </row>
    <row r="29" ht="20" customHeight="1">
      <c r="A29" s="6" t="inlineStr">
        <is>
          <t>MDL_HAIKU</t>
        </is>
      </c>
      <c r="B29" s="7" t="inlineStr">
        <is>
          <t>Claude Haiku 4.5</t>
        </is>
      </c>
      <c r="C29" s="23" t="n">
        <v>1</v>
      </c>
      <c r="D29" s="23" t="n">
        <v>5</v>
      </c>
      <c r="E29" s="24">
        <f>(C23*C24/1000000)*C29+(C23*C25/1000000)*D29</f>
        <v/>
      </c>
      <c r="F29" s="10" t="inlineStr">
        <is>
          <t>Default production model: high speed, ultra-low cost, structured fixes</t>
        </is>
      </c>
    </row>
    <row r="30" ht="20" customHeight="1">
      <c r="A30" s="6" t="inlineStr">
        <is>
          <t>MDL_SONNET</t>
        </is>
      </c>
      <c r="B30" s="7" t="inlineStr">
        <is>
          <t>Claude Sonnet 4.6</t>
        </is>
      </c>
      <c r="C30" s="23" t="n">
        <v>3</v>
      </c>
      <c r="D30" s="23" t="n">
        <v>15</v>
      </c>
      <c r="E30" s="24">
        <f>(C23*C24/1000000)*C30+(C23*C25/1000000)*D30</f>
        <v/>
      </c>
      <c r="F30" s="10" t="inlineStr">
        <is>
          <t>Alternative model: advanced reasoning for complex multi-turn workflows</t>
        </is>
      </c>
    </row>
    <row r="31" ht="22" customHeight="1">
      <c r="A31" s="16" t="inlineStr">
        <is>
          <t>MDL_ACTIVE</t>
        </is>
      </c>
      <c r="B31" s="17" t="inlineStr">
        <is>
          <t>Active Model API Rate ($/1M)</t>
        </is>
      </c>
      <c r="C31" s="25">
        <f>IF(C22="Sonnet 4.6",C30,C29)</f>
        <v/>
      </c>
      <c r="D31" s="25">
        <f>IF(C22="Sonnet 4.6",D30,D29)</f>
        <v/>
      </c>
      <c r="E31" s="26">
        <f>IF(C22="Sonnet 4.6",E30,E29)</f>
        <v/>
      </c>
      <c r="F31" s="20" t="inlineStr">
        <is>
          <t>Live rate dynamically linked to Cell C22 model selector</t>
        </is>
      </c>
    </row>
    <row r="32" ht="22" customHeight="1">
      <c r="A32" s="5" t="inlineStr">
        <is>
          <t>4. SUPPORT TEAM LABOR &amp; CAPACITY ECONOMICS</t>
        </is>
      </c>
    </row>
    <row r="33" ht="20" customHeight="1">
      <c r="A33" s="6" t="inlineStr">
        <is>
          <t>A_AG_SAL</t>
        </is>
      </c>
      <c r="B33" s="7" t="inlineStr">
        <is>
          <t>Agent monthly salary</t>
        </is>
      </c>
      <c r="C33" s="27" t="n">
        <v>25000</v>
      </c>
      <c r="D33" s="9" t="inlineStr">
        <is>
          <t>INR / month</t>
        </is>
      </c>
      <c r="E33" s="6" t="inlineStr">
        <is>
          <t>Labor Input</t>
        </is>
      </c>
      <c r="F33" s="10" t="inlineStr">
        <is>
          <t>Base monthly salary for L1 customer support specialist in India (Jaipur/Tier-2)</t>
        </is>
      </c>
    </row>
    <row r="34" ht="20" customHeight="1">
      <c r="A34" s="6" t="inlineStr">
        <is>
          <t>A_AG_OVH</t>
        </is>
      </c>
      <c r="B34" s="7" t="inlineStr">
        <is>
          <t>Agent benefits &amp; overhead load</t>
        </is>
      </c>
      <c r="C34" s="11" t="n">
        <v>0.3</v>
      </c>
      <c r="D34" s="9" t="inlineStr">
        <is>
          <t>%</t>
        </is>
      </c>
      <c r="E34" s="6" t="inlineStr">
        <is>
          <t>Labor Input</t>
        </is>
      </c>
      <c r="F34" s="10" t="inlineStr">
        <is>
          <t>Provident fund (PF), health insurance, workspace, laptop, and Team Lead ratio</t>
        </is>
      </c>
    </row>
    <row r="35" ht="20" customHeight="1">
      <c r="A35" s="6" t="inlineStr">
        <is>
          <t>A_AG_TOT</t>
        </is>
      </c>
      <c r="B35" s="13" t="inlineStr">
        <is>
          <t>Total loaded monthly cost per agent</t>
        </is>
      </c>
      <c r="C35" s="28">
        <f>C33*(1+C34)</f>
        <v/>
      </c>
      <c r="D35" s="9" t="inlineStr">
        <is>
          <t>INR / month</t>
        </is>
      </c>
      <c r="E35" s="6" t="inlineStr">
        <is>
          <t>Model Formula</t>
        </is>
      </c>
      <c r="F35" s="10" t="inlineStr">
        <is>
          <t>Full cost to company (CTC) including 30% operational overhead (=₹32,500)</t>
        </is>
      </c>
    </row>
    <row r="36" ht="20" customHeight="1">
      <c r="A36" s="6" t="inlineStr">
        <is>
          <t>A_AG_HRS</t>
        </is>
      </c>
      <c r="B36" s="7" t="inlineStr">
        <is>
          <t>Working hours per month</t>
        </is>
      </c>
      <c r="C36" s="8" t="n">
        <v>176</v>
      </c>
      <c r="D36" s="9" t="inlineStr">
        <is>
          <t>Hours / month</t>
        </is>
      </c>
      <c r="E36" s="6" t="inlineStr">
        <is>
          <t>Standard Input</t>
        </is>
      </c>
      <c r="F36" s="10" t="inlineStr">
        <is>
          <t>22 working days per month * 8 scheduled shift hours per day</t>
        </is>
      </c>
    </row>
    <row r="37" ht="20" customHeight="1">
      <c r="A37" s="6" t="inlineStr">
        <is>
          <t>A_AG_UTL</t>
        </is>
      </c>
      <c r="B37" s="7" t="inlineStr">
        <is>
          <t>Agent productive utilisation</t>
        </is>
      </c>
      <c r="C37" s="11" t="n">
        <v>0.7</v>
      </c>
      <c r="D37" s="9" t="inlineStr">
        <is>
          <t>%</t>
        </is>
      </c>
      <c r="E37" s="6" t="inlineStr">
        <is>
          <t>Ops Input</t>
        </is>
      </c>
      <c r="F37" s="10" t="inlineStr">
        <is>
          <t>70% effective ticket handling; 30% for shift handover, breaks, QA coaching</t>
        </is>
      </c>
    </row>
    <row r="38" ht="20" customHeight="1">
      <c r="A38" s="6" t="inlineStr">
        <is>
          <t>A_AG_PRD_HRS</t>
        </is>
      </c>
      <c r="B38" s="13" t="inlineStr">
        <is>
          <t>Productive hours per agent / month</t>
        </is>
      </c>
      <c r="C38" s="29">
        <f>C36*C37</f>
        <v/>
      </c>
      <c r="D38" s="9" t="inlineStr">
        <is>
          <t>Hours / month</t>
        </is>
      </c>
      <c r="E38" s="6" t="inlineStr">
        <is>
          <t>Model Formula</t>
        </is>
      </c>
      <c r="F38" s="10" t="inlineStr">
        <is>
          <t>Net effective time dedicated to active customer ticket resolution (=123.2 hrs)</t>
        </is>
      </c>
    </row>
    <row r="39" ht="20" customHeight="1">
      <c r="A39" s="6" t="inlineStr">
        <is>
          <t>A_AG_HR_CST</t>
        </is>
      </c>
      <c r="B39" s="13" t="inlineStr">
        <is>
          <t>Loaded cost per productive hour</t>
        </is>
      </c>
      <c r="C39" s="28">
        <f>C35/C38</f>
        <v/>
      </c>
      <c r="D39" s="9" t="inlineStr">
        <is>
          <t>INR / hour</t>
        </is>
      </c>
      <c r="E39" s="6" t="inlineStr">
        <is>
          <t>Model Formula</t>
        </is>
      </c>
      <c r="F39" s="10" t="inlineStr">
        <is>
          <t>Fully-loaded operational cost per hour of live human agent handling (=₹263.80)</t>
        </is>
      </c>
    </row>
    <row r="40" ht="20" customHeight="1">
      <c r="A40" s="6" t="inlineStr">
        <is>
          <t>A_AG_MIN_CST</t>
        </is>
      </c>
      <c r="B40" s="13" t="inlineStr">
        <is>
          <t>Loaded cost per productive minute</t>
        </is>
      </c>
      <c r="C40" s="28">
        <f>C39/60</f>
        <v/>
      </c>
      <c r="D40" s="9" t="inlineStr">
        <is>
          <t>INR / minute</t>
        </is>
      </c>
      <c r="E40" s="6" t="inlineStr">
        <is>
          <t>Model Formula</t>
        </is>
      </c>
      <c r="F40" s="10" t="inlineStr">
        <is>
          <t>Labor cost per ticket minute used for handle time economics (=₹4.40)</t>
        </is>
      </c>
    </row>
    <row r="41" ht="22" customHeight="1">
      <c r="A41" s="5" t="inlineStr">
        <is>
          <t>5. HANDLE TIME, PLATFORM FIXED COSTS &amp; BUSINESS RULES</t>
        </is>
      </c>
    </row>
    <row r="42" ht="20" customHeight="1">
      <c r="A42" s="6" t="inlineStr">
        <is>
          <t>A_HT_UNAST</t>
        </is>
      </c>
      <c r="B42" s="7" t="inlineStr">
        <is>
          <t>Human handle time per unassisted ticket</t>
        </is>
      </c>
      <c r="C42" s="12" t="n">
        <v>18</v>
      </c>
      <c r="D42" s="9" t="inlineStr">
        <is>
          <t>Minutes</t>
        </is>
      </c>
      <c r="E42" s="6" t="inlineStr">
        <is>
          <t>Empirical Input</t>
        </is>
      </c>
      <c r="F42" s="10" t="inlineStr">
        <is>
          <t>Time for human agent to investigate from scratch, read logs, write response</t>
        </is>
      </c>
    </row>
    <row r="43" ht="20" customHeight="1">
      <c r="A43" s="6" t="inlineStr">
        <is>
          <t>A_HT_ESCAL</t>
        </is>
      </c>
      <c r="B43" s="7" t="inlineStr">
        <is>
          <t>Escalated ticket handle time (with AI summary)</t>
        </is>
      </c>
      <c r="C43" s="12" t="n">
        <v>12</v>
      </c>
      <c r="D43" s="9" t="inlineStr">
        <is>
          <t>Minutes</t>
        </is>
      </c>
      <c r="E43" s="6" t="inlineStr">
        <is>
          <t>Empirical Input</t>
        </is>
      </c>
      <c r="F43" s="10" t="inlineStr">
        <is>
          <t>33% time saving because AI provides pre-filled handoff card with context &amp; trials</t>
        </is>
      </c>
    </row>
    <row r="44" ht="20" customHeight="1">
      <c r="A44" s="6" t="inlineStr">
        <is>
          <t>A_FX_CST</t>
        </is>
      </c>
      <c r="B44" s="7" t="inlineStr">
        <is>
          <t>Fixed monthly AI platform cost</t>
        </is>
      </c>
      <c r="C44" s="27" t="n">
        <v>50000</v>
      </c>
      <c r="D44" s="9" t="inlineStr">
        <is>
          <t>INR / month</t>
        </is>
      </c>
      <c r="E44" s="6" t="inlineStr">
        <is>
          <t>Infra Input</t>
        </is>
      </c>
      <c r="F44" s="10" t="inlineStr">
        <is>
          <t>Pinecone/Qdrant vector DB, cloud hosting, observability &amp; 0.25 FTE dev maintenance</t>
        </is>
      </c>
    </row>
    <row r="45" ht="20" customHeight="1">
      <c r="A45" s="6" t="inlineStr">
        <is>
          <t>A_DFY_PRC</t>
        </is>
      </c>
      <c r="B45" s="7" t="inlineStr">
        <is>
          <t>Done-for-you setup add-on price</t>
        </is>
      </c>
      <c r="C45" s="27" t="n">
        <v>1999</v>
      </c>
      <c r="D45" s="9" t="inlineStr">
        <is>
          <t>INR / setup</t>
        </is>
      </c>
      <c r="E45" s="6" t="inlineStr">
        <is>
          <t>Commercial Input</t>
        </is>
      </c>
      <c r="F45" s="10" t="inlineStr">
        <is>
          <t>Optional white-glove onboarding package for complete WhatsApp setup</t>
        </is>
      </c>
    </row>
    <row r="46" ht="20" customHeight="1">
      <c r="A46" s="6" t="inlineStr">
        <is>
          <t>A_DFY_HRS</t>
        </is>
      </c>
      <c r="B46" s="7" t="inlineStr">
        <is>
          <t>Agent hours per done-for-you setup</t>
        </is>
      </c>
      <c r="C46" s="12" t="n">
        <v>2</v>
      </c>
      <c r="D46" s="9" t="inlineStr">
        <is>
          <t>Hours / setup</t>
        </is>
      </c>
      <c r="E46" s="6" t="inlineStr">
        <is>
          <t>Ops Input</t>
        </is>
      </c>
      <c r="F46" s="10" t="inlineStr">
        <is>
          <t>Human specialist hands-on time to configure Meta WABA, verify business, and test</t>
        </is>
      </c>
    </row>
    <row r="47" ht="20" customHeight="1">
      <c r="A47" s="6" t="inlineStr">
        <is>
          <t>A_CAP_CONV</t>
        </is>
      </c>
      <c r="B47" s="7" t="inlineStr">
        <is>
          <t>Fair-use conversation cap</t>
        </is>
      </c>
      <c r="C47" s="8" t="n">
        <v>30</v>
      </c>
      <c r="D47" s="9" t="inlineStr">
        <is>
          <t>Convs / biz / mo</t>
        </is>
      </c>
      <c r="E47" s="6" t="inlineStr">
        <is>
          <t>Policy Input</t>
        </is>
      </c>
      <c r="F47" s="10" t="inlineStr">
        <is>
          <t>Fair-use guardrail to prevent bot scraping or looping; 99.8% of users stay under</t>
        </is>
      </c>
    </row>
  </sheetData>
  <mergeCells count="7">
    <mergeCell ref="A41:F41"/>
    <mergeCell ref="A2:F2"/>
    <mergeCell ref="A10:F10"/>
    <mergeCell ref="A1:F1"/>
    <mergeCell ref="A5:F5"/>
    <mergeCell ref="A32:F3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2" customWidth="1" min="4" max="4"/>
    <col width="22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Cheerio AI — Customer Support Query Volume Modeling</t>
        </is>
      </c>
    </row>
    <row r="2" ht="18" customHeight="1">
      <c r="A2" s="2" t="inlineStr">
        <is>
          <t>Monthly inbound query generation across setup vs established businesses • AI resolution vs escalation breakdown</t>
        </is>
      </c>
    </row>
    <row r="3" ht="8" customHeight="1"/>
    <row r="4" ht="22" customHeight="1">
      <c r="A4" s="5" t="inlineStr">
        <is>
          <t>1. BUSINESS SEGMENTATION &amp; INBOUND QUERY GENERATION</t>
        </is>
      </c>
    </row>
    <row r="5" ht="24" customHeight="1">
      <c r="A5" s="3" t="inlineStr">
        <is>
          <t>Business Segment</t>
        </is>
      </c>
      <c r="B5" s="3" t="inlineStr">
        <is>
          <t>Share of Accounts</t>
        </is>
      </c>
      <c r="C5" s="3" t="inlineStr">
        <is>
          <t>Active Accounts</t>
        </is>
      </c>
      <c r="D5" s="3" t="inlineStr">
        <is>
          <t>Queries / Biz / Mo</t>
        </is>
      </c>
      <c r="E5" s="3" t="inlineStr">
        <is>
          <t>Monthly Query Volume</t>
        </is>
      </c>
      <c r="F5" s="3" t="inlineStr">
        <is>
          <t>Share of Total Queries</t>
        </is>
      </c>
    </row>
    <row r="6" ht="20" customHeight="1">
      <c r="A6" s="7" t="inlineStr">
        <is>
          <t>Setup-Phase Businesses</t>
        </is>
      </c>
      <c r="B6" s="30">
        <f>Assumptions!C7</f>
        <v/>
      </c>
      <c r="C6" s="31">
        <f>Assumptions!C6*B6</f>
        <v/>
      </c>
      <c r="D6" s="32">
        <f>Assumptions!C8</f>
        <v/>
      </c>
      <c r="E6" s="33">
        <f>C6*D6</f>
        <v/>
      </c>
      <c r="F6" s="30">
        <f>E6/$E$8</f>
        <v/>
      </c>
    </row>
    <row r="7" ht="20" customHeight="1">
      <c r="A7" s="7" t="inlineStr">
        <is>
          <t>Established Businesses</t>
        </is>
      </c>
      <c r="B7" s="30">
        <f>1-B6</f>
        <v/>
      </c>
      <c r="C7" s="31">
        <f>Assumptions!C6*B7</f>
        <v/>
      </c>
      <c r="D7" s="32">
        <f>Assumptions!C9</f>
        <v/>
      </c>
      <c r="E7" s="33">
        <f>C7*D7</f>
        <v/>
      </c>
      <c r="F7" s="30">
        <f>E7/$E$8</f>
        <v/>
      </c>
    </row>
    <row r="8" ht="22" customHeight="1">
      <c r="A8" s="17" t="inlineStr">
        <is>
          <t>Total Active Customer Base</t>
        </is>
      </c>
      <c r="B8" s="18">
        <f>SUM(B6:B7)</f>
        <v/>
      </c>
      <c r="C8" s="34">
        <f>SUM(C6:C7)</f>
        <v/>
      </c>
      <c r="D8" s="35">
        <f>E8/C8</f>
        <v/>
      </c>
      <c r="E8" s="36">
        <f>SUM(E6:E7)</f>
        <v/>
      </c>
      <c r="F8" s="18">
        <f>SUM(F6:F7)</f>
        <v/>
      </c>
    </row>
    <row r="10" ht="22" customHeight="1">
      <c r="A10" s="5" t="inlineStr">
        <is>
          <t>2. AI RESOLUTION &amp; HUMAN ESCALATION PROJECTIONS</t>
        </is>
      </c>
    </row>
    <row r="11" ht="24" customHeight="1">
      <c r="A11" s="3" t="inlineStr">
        <is>
          <t>Performance Metric</t>
        </is>
      </c>
      <c r="B11" s="3" t="inlineStr">
        <is>
          <t>Status Quo (No AI)</t>
        </is>
      </c>
      <c r="C11" s="3" t="inlineStr">
        <is>
          <t>Month-3 Target (40% Res)</t>
        </is>
      </c>
      <c r="D11" s="3" t="inlineStr">
        <is>
          <t>Steady State (47.75% Res)</t>
        </is>
      </c>
      <c r="E11" s="3" t="inlineStr">
        <is>
          <t>Variance (Steady vs Target)</t>
        </is>
      </c>
      <c r="F11" s="3" t="inlineStr">
        <is>
          <t>Model Formula &amp; Reference</t>
        </is>
      </c>
    </row>
    <row r="12" ht="20" customHeight="1">
      <c r="A12" s="7" t="inlineStr">
        <is>
          <t>Total Inbound Customer Queries</t>
        </is>
      </c>
      <c r="B12" s="31">
        <f>E8</f>
        <v/>
      </c>
      <c r="C12" s="33">
        <f>E8</f>
        <v/>
      </c>
      <c r="D12" s="33">
        <f>E8</f>
        <v/>
      </c>
      <c r="E12" s="31">
        <f>D12-C12</f>
        <v/>
      </c>
      <c r="F12" s="10" t="inlineStr">
        <is>
          <t>Baseline inbound monthly support inquiry volume</t>
        </is>
      </c>
    </row>
    <row r="13" ht="20" customHeight="1">
      <c r="A13" s="7" t="inlineStr">
        <is>
          <t>AI Self-Serve Resolution Rate %</t>
        </is>
      </c>
      <c r="B13" s="30" t="n">
        <v>0</v>
      </c>
      <c r="C13" s="37">
        <f>Assumptions!C11</f>
        <v/>
      </c>
      <c r="D13" s="37">
        <f>Assumptions!C12</f>
        <v/>
      </c>
      <c r="E13" s="30">
        <f>D13-C13</f>
        <v/>
      </c>
      <c r="F13" s="10" t="inlineStr">
        <is>
          <t>AI resolution capability (40% target vs 47.75% steady state)</t>
        </is>
      </c>
    </row>
    <row r="14" ht="20" customHeight="1">
      <c r="A14" s="13" t="inlineStr">
        <is>
          <t>Queries Resolved by AI Assistant</t>
        </is>
      </c>
      <c r="B14" s="31" t="n">
        <v>0</v>
      </c>
      <c r="C14" s="38">
        <f>C12*C13</f>
        <v/>
      </c>
      <c r="D14" s="38">
        <f>D12*D13</f>
        <v/>
      </c>
      <c r="E14" s="31">
        <f>D14-C14</f>
        <v/>
      </c>
      <c r="F14" s="10" t="inlineStr">
        <is>
          <t>Queries successfully solved without human touch (Target: 1,580 | Steady: 1,886)</t>
        </is>
      </c>
    </row>
    <row r="15" ht="20" customHeight="1">
      <c r="A15" s="13" t="inlineStr">
        <is>
          <t>Queries Escalated to Human Support</t>
        </is>
      </c>
      <c r="B15" s="31">
        <f>B12</f>
        <v/>
      </c>
      <c r="C15" s="33">
        <f>C12*(1-C13)</f>
        <v/>
      </c>
      <c r="D15" s="33">
        <f>D12*(1-D13)</f>
        <v/>
      </c>
      <c r="E15" s="31">
        <f>D15-C15</f>
        <v/>
      </c>
      <c r="F15" s="10" t="inlineStr">
        <is>
          <t>Residual inquiries requiring human agent handling (Target: 2,370 | Steady: 2,064)</t>
        </is>
      </c>
    </row>
    <row r="16" ht="20" customHeight="1">
      <c r="A16" s="7" t="inlineStr">
        <is>
          <t>Human Escalation Rate %</t>
        </is>
      </c>
      <c r="B16" s="30" t="n">
        <v>1</v>
      </c>
      <c r="C16" s="37">
        <f>C15/C12</f>
        <v/>
      </c>
      <c r="D16" s="37">
        <f>D15/D12</f>
        <v/>
      </c>
      <c r="E16" s="30">
        <f>D16-C16</f>
        <v/>
      </c>
      <c r="F16" s="10" t="inlineStr">
        <is>
          <t>Share of tickets routed to human queue (Target: 60.0% | Steady: 52.25%)</t>
        </is>
      </c>
    </row>
    <row r="17" ht="20" customHeight="1">
      <c r="A17" s="7" t="inlineStr">
        <is>
          <t>Net Ticket Deflection Rate %</t>
        </is>
      </c>
      <c r="B17" s="30" t="n">
        <v>0</v>
      </c>
      <c r="C17" s="39">
        <f>C14/C12</f>
        <v/>
      </c>
      <c r="D17" s="39">
        <f>D14/D12</f>
        <v/>
      </c>
      <c r="E17" s="30">
        <f>D17-C17</f>
        <v/>
      </c>
      <c r="F17" s="10" t="inlineStr">
        <is>
          <t>Reduction in ticket volume reaching human support queue</t>
        </is>
      </c>
    </row>
    <row r="19" ht="22" customHeight="1">
      <c r="A19" s="5" t="inlineStr">
        <is>
          <t>3. STEADY-STATE INBOUND VOLUME BREAKDOWN BY ISSUE CATEGORY</t>
        </is>
      </c>
    </row>
    <row r="20" ht="24" customHeight="1">
      <c r="A20" s="3" t="inlineStr">
        <is>
          <t>Category ID</t>
        </is>
      </c>
      <c r="B20" s="3" t="inlineStr">
        <is>
          <t>Support Category</t>
        </is>
      </c>
      <c r="C20" s="3" t="inlineStr">
        <is>
          <t>Mix %</t>
        </is>
      </c>
      <c r="D20" s="3" t="inlineStr">
        <is>
          <t>Total Inbound Queries</t>
        </is>
      </c>
      <c r="E20" s="3" t="inlineStr">
        <is>
          <t>AI Resolution %</t>
        </is>
      </c>
      <c r="F20" s="3" t="inlineStr">
        <is>
          <t>Resolved by AI</t>
        </is>
      </c>
      <c r="G20" s="3" t="inlineStr">
        <is>
          <t>Escalated to Human</t>
        </is>
      </c>
      <c r="H20" s="3" t="inlineStr">
        <is>
          <t>Escalation Rate %</t>
        </is>
      </c>
    </row>
    <row r="21" ht="20" customHeight="1">
      <c r="A21" s="6" t="inlineStr">
        <is>
          <t>CAT_1</t>
        </is>
      </c>
      <c r="B21" s="7" t="inlineStr">
        <is>
          <t>Setup &amp; Business Verification</t>
        </is>
      </c>
      <c r="C21" s="30">
        <f>Assumptions!C14</f>
        <v/>
      </c>
      <c r="D21" s="31">
        <f>$E$8*C21</f>
        <v/>
      </c>
      <c r="E21" s="30">
        <f>Assumptions!D14</f>
        <v/>
      </c>
      <c r="F21" s="31">
        <f>D21*E21</f>
        <v/>
      </c>
      <c r="G21" s="31">
        <f>D21-F21</f>
        <v/>
      </c>
      <c r="H21" s="30">
        <f>G21/D21</f>
        <v/>
      </c>
    </row>
    <row r="22" ht="20" customHeight="1">
      <c r="A22" s="6" t="inlineStr">
        <is>
          <t>CAT_2</t>
        </is>
      </c>
      <c r="B22" s="7" t="inlineStr">
        <is>
          <t>Message Templates</t>
        </is>
      </c>
      <c r="C22" s="30">
        <f>Assumptions!C15</f>
        <v/>
      </c>
      <c r="D22" s="31">
        <f>$E$8*C22</f>
        <v/>
      </c>
      <c r="E22" s="30">
        <f>Assumptions!D15</f>
        <v/>
      </c>
      <c r="F22" s="31">
        <f>D22*E22</f>
        <v/>
      </c>
      <c r="G22" s="31">
        <f>D22-F22</f>
        <v/>
      </c>
      <c r="H22" s="30">
        <f>G22/D22</f>
        <v/>
      </c>
    </row>
    <row r="23" ht="20" customHeight="1">
      <c r="A23" s="6" t="inlineStr">
        <is>
          <t>CAT_3</t>
        </is>
      </c>
      <c r="B23" s="7" t="inlineStr">
        <is>
          <t>Delivery Failures &amp; Errors</t>
        </is>
      </c>
      <c r="C23" s="30">
        <f>Assumptions!C16</f>
        <v/>
      </c>
      <c r="D23" s="31">
        <f>$E$8*C23</f>
        <v/>
      </c>
      <c r="E23" s="30">
        <f>Assumptions!D16</f>
        <v/>
      </c>
      <c r="F23" s="31">
        <f>D23*E23</f>
        <v/>
      </c>
      <c r="G23" s="31">
        <f>D23-F23</f>
        <v/>
      </c>
      <c r="H23" s="30">
        <f>G23/D23</f>
        <v/>
      </c>
    </row>
    <row r="24" ht="20" customHeight="1">
      <c r="A24" s="6" t="inlineStr">
        <is>
          <t>CAT_4</t>
        </is>
      </c>
      <c r="B24" s="7" t="inlineStr">
        <is>
          <t>Chatbot Automation &amp; Flows</t>
        </is>
      </c>
      <c r="C24" s="30">
        <f>Assumptions!C17</f>
        <v/>
      </c>
      <c r="D24" s="31">
        <f>$E$8*C24</f>
        <v/>
      </c>
      <c r="E24" s="30">
        <f>Assumptions!D17</f>
        <v/>
      </c>
      <c r="F24" s="31">
        <f>D24*E24</f>
        <v/>
      </c>
      <c r="G24" s="31">
        <f>D24-F24</f>
        <v/>
      </c>
      <c r="H24" s="30">
        <f>G24/D24</f>
        <v/>
      </c>
    </row>
    <row r="25" ht="20" customHeight="1">
      <c r="A25" s="6" t="inlineStr">
        <is>
          <t>CAT_5</t>
        </is>
      </c>
      <c r="B25" s="7" t="inlineStr">
        <is>
          <t>E-commerce &amp; CRM Integrations</t>
        </is>
      </c>
      <c r="C25" s="30">
        <f>Assumptions!C18</f>
        <v/>
      </c>
      <c r="D25" s="31">
        <f>$E$8*C25</f>
        <v/>
      </c>
      <c r="E25" s="30">
        <f>Assumptions!D18</f>
        <v/>
      </c>
      <c r="F25" s="31">
        <f>D25*E25</f>
        <v/>
      </c>
      <c r="G25" s="31">
        <f>D25-F25</f>
        <v/>
      </c>
      <c r="H25" s="30">
        <f>G25/D25</f>
        <v/>
      </c>
    </row>
    <row r="26" ht="20" customHeight="1">
      <c r="A26" s="6" t="inlineStr">
        <is>
          <t>CAT_6</t>
        </is>
      </c>
      <c r="B26" s="7" t="inlineStr">
        <is>
          <t>Other / Billing / Account Inquiries</t>
        </is>
      </c>
      <c r="C26" s="30">
        <f>Assumptions!C19</f>
        <v/>
      </c>
      <c r="D26" s="31">
        <f>$E$8*C26</f>
        <v/>
      </c>
      <c r="E26" s="30">
        <f>Assumptions!D19</f>
        <v/>
      </c>
      <c r="F26" s="31">
        <f>D26*E26</f>
        <v/>
      </c>
      <c r="G26" s="31">
        <f>D26-F26</f>
        <v/>
      </c>
      <c r="H26" s="30">
        <f>G26/D26</f>
        <v/>
      </c>
    </row>
    <row r="27" ht="22" customHeight="1">
      <c r="A27" s="16" t="inlineStr">
        <is>
          <t>TOTAL</t>
        </is>
      </c>
      <c r="B27" s="17" t="inlineStr">
        <is>
          <t>Total Steady-State Volume</t>
        </is>
      </c>
      <c r="C27" s="18">
        <f>SUM(C21:C26)</f>
        <v/>
      </c>
      <c r="D27" s="34">
        <f>SUM(D21:D26)</f>
        <v/>
      </c>
      <c r="E27" s="19">
        <f>F27/D27</f>
        <v/>
      </c>
      <c r="F27" s="36">
        <f>SUM(F21:F26)</f>
        <v/>
      </c>
      <c r="G27" s="34">
        <f>SUM(G21:G26)</f>
        <v/>
      </c>
      <c r="H27" s="18">
        <f>G27/D27</f>
        <v/>
      </c>
    </row>
  </sheetData>
  <mergeCells count="5">
    <mergeCell ref="A2:F2"/>
    <mergeCell ref="A10:F10"/>
    <mergeCell ref="A1:F1"/>
    <mergeCell ref="A19:H19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8" customWidth="1" min="4" max="4"/>
    <col width="24" customWidth="1" min="5" max="5"/>
    <col width="65" customWidth="1" min="6" max="6"/>
    <col width="24" customWidth="1" min="7" max="7"/>
    <col width="18" customWidth="1" min="8" max="8"/>
  </cols>
  <sheetData>
    <row r="1" ht="26" customHeight="1">
      <c r="A1" s="1" t="inlineStr">
        <is>
          <t>Cheerio AI — Assistant Compute &amp; Infrastructure Cost Architecture</t>
        </is>
      </c>
    </row>
    <row r="2" ht="18" customHeight="1">
      <c r="A2" s="2" t="inlineStr">
        <is>
          <t>Per-conversation token unit economics • API inference compute costs • Monthly platform hosting &amp; cost to serve</t>
        </is>
      </c>
    </row>
    <row r="3" ht="8" customHeight="1"/>
    <row r="4" ht="22" customHeight="1">
      <c r="A4" s="5" t="inlineStr">
        <is>
          <t>1. PER-CONVERSATION TOKEN &amp; COMPUTE ARCHITECTURE</t>
        </is>
      </c>
    </row>
    <row r="5" ht="24" customHeight="1">
      <c r="A5" s="3" t="inlineStr">
        <is>
          <t>Ref #</t>
        </is>
      </c>
      <c r="B5" s="3" t="inlineStr">
        <is>
          <t>Token / Cost Parameter</t>
        </is>
      </c>
      <c r="C5" s="3" t="inlineStr">
        <is>
          <t>Value</t>
        </is>
      </c>
      <c r="D5" s="3" t="inlineStr">
        <is>
          <t>Unit</t>
        </is>
      </c>
      <c r="E5" s="3" t="inlineStr">
        <is>
          <t>Calculation Formula</t>
        </is>
      </c>
      <c r="F5" s="3" t="inlineStr">
        <is>
          <t>Architectural Driver &amp; Technical Note</t>
        </is>
      </c>
    </row>
    <row r="6" ht="20" customHeight="1">
      <c r="A6" s="6" t="inlineStr">
        <is>
          <t>C_MDL</t>
        </is>
      </c>
      <c r="B6" s="7" t="inlineStr">
        <is>
          <t>Active Foundation Model</t>
        </is>
      </c>
      <c r="C6" s="40">
        <f>Assumptions!C22</f>
        <v/>
      </c>
      <c r="D6" s="9" t="inlineStr">
        <is>
          <t>-</t>
        </is>
      </c>
      <c r="E6" s="41">
        <f>Assumptions!C22</f>
        <v/>
      </c>
      <c r="F6" s="10" t="inlineStr">
        <is>
          <t>Production LLM (Anthropic Claude Haiku 4.5)</t>
        </is>
      </c>
    </row>
    <row r="7" ht="20" customHeight="1">
      <c r="A7" s="6" t="inlineStr">
        <is>
          <t>C_TRN</t>
        </is>
      </c>
      <c r="B7" s="7" t="inlineStr">
        <is>
          <t>Conversation Turns per Session</t>
        </is>
      </c>
      <c r="C7" s="31">
        <f>Assumptions!C23</f>
        <v/>
      </c>
      <c r="D7" s="9" t="inlineStr">
        <is>
          <t>-</t>
        </is>
      </c>
      <c r="E7" s="41">
        <f>Assumptions!C23</f>
        <v/>
      </c>
      <c r="F7" s="10" t="inlineStr">
        <is>
          <t>Average turn depth per support interaction</t>
        </is>
      </c>
    </row>
    <row r="8" ht="20" customHeight="1">
      <c r="A8" s="6" t="inlineStr">
        <is>
          <t>C_IN_TOK</t>
        </is>
      </c>
      <c r="B8" s="7" t="inlineStr">
        <is>
          <t>Input Tokens per Conversation</t>
        </is>
      </c>
      <c r="C8" s="31">
        <f>C7*Assumptions!C24</f>
        <v/>
      </c>
      <c r="D8" s="9" t="inlineStr">
        <is>
          <t>Tokens</t>
        </is>
      </c>
      <c r="E8" s="41">
        <f>Turns * Input Tokens per Turn</f>
        <v/>
      </c>
      <c r="F8" s="10" t="inlineStr">
        <is>
          <t>System prompt, account metadata, context injection &amp; chat history (17,500 tok)</t>
        </is>
      </c>
    </row>
    <row r="9" ht="20" customHeight="1">
      <c r="A9" s="6" t="inlineStr">
        <is>
          <t>C_OUT_TOK</t>
        </is>
      </c>
      <c r="B9" s="7" t="inlineStr">
        <is>
          <t>Output Tokens per Conversation</t>
        </is>
      </c>
      <c r="C9" s="31">
        <f>C7*Assumptions!C25</f>
        <v/>
      </c>
      <c r="D9" s="9" t="inlineStr">
        <is>
          <t>Tokens</t>
        </is>
      </c>
      <c r="E9" s="41">
        <f>Turns * Output Tokens per Turn</f>
        <v/>
      </c>
      <c r="F9" s="10" t="inlineStr">
        <is>
          <t>Concise 1-step assistant replies and structured fix card payloads (1,250 tok)</t>
        </is>
      </c>
    </row>
    <row r="10" ht="20" customHeight="1">
      <c r="A10" s="6" t="inlineStr">
        <is>
          <t>C_TOT_TOK</t>
        </is>
      </c>
      <c r="B10" s="7" t="inlineStr">
        <is>
          <t>Total Tokens per Conversation</t>
        </is>
      </c>
      <c r="C10" s="31">
        <f>C8+C9</f>
        <v/>
      </c>
      <c r="D10" s="9" t="inlineStr">
        <is>
          <t>Tokens</t>
        </is>
      </c>
      <c r="E10" s="41">
        <f>Input Tokens + Output Tokens</f>
        <v/>
      </c>
      <c r="F10" s="10" t="inlineStr">
        <is>
          <t>18,750 total tokens processed per customer conversation</t>
        </is>
      </c>
    </row>
    <row r="11" ht="20" customHeight="1">
      <c r="A11" s="6" t="inlineStr">
        <is>
          <t>C_IN_USD</t>
        </is>
      </c>
      <c r="B11" s="7" t="inlineStr">
        <is>
          <t>Input Compute Cost (Base)</t>
        </is>
      </c>
      <c r="C11" s="24">
        <f>(C8/1000000)*Assumptions!C31</f>
        <v/>
      </c>
      <c r="D11" s="9" t="inlineStr">
        <is>
          <t>USD / conv</t>
        </is>
      </c>
      <c r="E11" s="41">
        <f>(Input Tokens / 1M) * Input Rate</f>
        <v/>
      </c>
      <c r="F11" s="10" t="inlineStr">
        <is>
          <t>$0.017500 base input cost ($1.00 / 1M tokens)</t>
        </is>
      </c>
    </row>
    <row r="12" ht="20" customHeight="1">
      <c r="A12" s="6" t="inlineStr">
        <is>
          <t>C_OUT_USD</t>
        </is>
      </c>
      <c r="B12" s="7" t="inlineStr">
        <is>
          <t>Output Compute Cost (Base)</t>
        </is>
      </c>
      <c r="C12" s="24">
        <f>(C9/1000000)*Assumptions!D31</f>
        <v/>
      </c>
      <c r="D12" s="9" t="inlineStr">
        <is>
          <t>USD / conv</t>
        </is>
      </c>
      <c r="E12" s="41">
        <f>(Output Tokens / 1M) * Output Rate</f>
        <v/>
      </c>
      <c r="F12" s="10" t="inlineStr">
        <is>
          <t>$0.006250 base output cost ($5.00 / 1M tokens)</t>
        </is>
      </c>
    </row>
    <row r="13" ht="20" customHeight="1">
      <c r="A13" s="6" t="inlineStr">
        <is>
          <t>C_BASE_USD</t>
        </is>
      </c>
      <c r="B13" s="7" t="inlineStr">
        <is>
          <t>Base API Cost per Conversation</t>
        </is>
      </c>
      <c r="C13" s="24">
        <f>C11+C12</f>
        <v/>
      </c>
      <c r="D13" s="9" t="inlineStr">
        <is>
          <t>USD / conv</t>
        </is>
      </c>
      <c r="E13" s="41">
        <f>Input Cost + Output Cost</f>
        <v/>
      </c>
      <c r="F13" s="10" t="inlineStr">
        <is>
          <t>$0.023750 unbuffered base compute per conversation</t>
        </is>
      </c>
    </row>
    <row r="14" ht="20" customHeight="1">
      <c r="A14" s="6" t="inlineStr">
        <is>
          <t>C_BUF_PCT</t>
        </is>
      </c>
      <c r="B14" s="7" t="inlineStr">
        <is>
          <t>Buffer for Retries, Evals &amp; Testing</t>
        </is>
      </c>
      <c r="C14" s="30">
        <f>Assumptions!C26</f>
        <v/>
      </c>
      <c r="D14" s="9" t="inlineStr">
        <is>
          <t>-</t>
        </is>
      </c>
      <c r="E14" s="41">
        <f>Assumptions!C26</f>
        <v/>
      </c>
      <c r="F14" s="10" t="inlineStr">
        <is>
          <t>30.0% safety margin for retries, tool execution failures &amp; guardrails</t>
        </is>
      </c>
    </row>
    <row r="15" ht="20" customHeight="1">
      <c r="A15" s="6" t="inlineStr">
        <is>
          <t>C_BUF_USD</t>
        </is>
      </c>
      <c r="B15" s="7" t="inlineStr">
        <is>
          <t>Total Buffered Cost per Conversation (USD)</t>
        </is>
      </c>
      <c r="C15" s="24">
        <f>C13*(1+C14)</f>
        <v/>
      </c>
      <c r="D15" s="9" t="inlineStr">
        <is>
          <t>USD / conv</t>
        </is>
      </c>
      <c r="E15" s="41">
        <f>Base Cost * (1 + Buffer %)</f>
        <v/>
      </c>
      <c r="F15" s="10" t="inlineStr">
        <is>
          <t>$0.030875 fully buffered cost per conversation</t>
        </is>
      </c>
    </row>
    <row r="16" ht="20" customHeight="1">
      <c r="A16" s="6" t="inlineStr">
        <is>
          <t>C_FX_RATE</t>
        </is>
      </c>
      <c r="B16" s="7" t="inlineStr">
        <is>
          <t>USD to INR Exchange Rate</t>
        </is>
      </c>
      <c r="C16" s="42">
        <f>Assumptions!C27</f>
        <v/>
      </c>
      <c r="D16" s="9" t="inlineStr">
        <is>
          <t>-</t>
        </is>
      </c>
      <c r="E16" s="41">
        <f>Assumptions!C27</f>
        <v/>
      </c>
      <c r="F16" s="10" t="inlineStr">
        <is>
          <t>Foreign exchange rate (₹88.00 per USD)</t>
        </is>
      </c>
    </row>
    <row r="17" ht="20" customHeight="1">
      <c r="A17" s="6" t="inlineStr">
        <is>
          <t>C_INR_CONV</t>
        </is>
      </c>
      <c r="B17" s="13" t="inlineStr">
        <is>
          <t>Total AI Cost per Conversation (INR)</t>
        </is>
      </c>
      <c r="C17" s="43">
        <f>C15*C16</f>
        <v/>
      </c>
      <c r="D17" s="9" t="inlineStr">
        <is>
          <t>INR / conv</t>
        </is>
      </c>
      <c r="E17" s="41">
        <f>Buffered USD * FX Rate</f>
        <v/>
      </c>
      <c r="F17" s="10" t="inlineStr">
        <is>
          <t>₹2.72 per customer conversation (Expected: about Rs 2.72)</t>
        </is>
      </c>
    </row>
    <row r="19" ht="22" customHeight="1">
      <c r="A19" s="5" t="inlineStr">
        <is>
          <t>2. MONTHLY AI &amp; PLATFORM INFRASTRUCTURE EXPENDITURE</t>
        </is>
      </c>
    </row>
    <row r="20" ht="24" customHeight="1">
      <c r="A20" s="3" t="inlineStr">
        <is>
          <t>Cost Category</t>
        </is>
      </c>
      <c r="B20" s="3" t="inlineStr">
        <is>
          <t>Component Scope Description</t>
        </is>
      </c>
      <c r="C20" s="3" t="inlineStr">
        <is>
          <t>Monthly Volume</t>
        </is>
      </c>
      <c r="D20" s="3" t="inlineStr">
        <is>
          <t>Unit Cost (INR)</t>
        </is>
      </c>
      <c r="E20" s="3" t="inlineStr">
        <is>
          <t>Monthly Cost (INR)</t>
        </is>
      </c>
      <c r="F20" s="3" t="inlineStr">
        <is>
          <t>% of Total AI Spend</t>
        </is>
      </c>
    </row>
    <row r="21" ht="20" customHeight="1">
      <c r="A21" s="13" t="inlineStr">
        <is>
          <t>Variable AI API Compute Cost</t>
        </is>
      </c>
      <c r="B21" s="41" t="inlineStr">
        <is>
          <t>Claude Haiku 4.5 LLM inference API calls (incl. 30% retry buffer)</t>
        </is>
      </c>
      <c r="C21" s="31">
        <f>Volume!E8</f>
        <v/>
      </c>
      <c r="D21" s="44">
        <f>C17</f>
        <v/>
      </c>
      <c r="E21" s="43">
        <f>C21*D21</f>
        <v/>
      </c>
      <c r="F21" s="30">
        <f>E21/$E$23</f>
        <v/>
      </c>
    </row>
    <row r="22" ht="20" customHeight="1">
      <c r="A22" s="13" t="inlineStr">
        <is>
          <t>Fixed Platform Upkeep &amp; Infra</t>
        </is>
      </c>
      <c r="B22" s="41" t="inlineStr">
        <is>
          <t>Managed vector database, cloud server, Langfuse logging &amp; 0.25 FTE dev upkeep</t>
        </is>
      </c>
      <c r="C22" s="31" t="n">
        <v>1</v>
      </c>
      <c r="D22" s="45">
        <f>Assumptions!C44</f>
        <v/>
      </c>
      <c r="E22" s="46">
        <f>C22*D22</f>
        <v/>
      </c>
      <c r="F22" s="30">
        <f>E22/$E$23</f>
        <v/>
      </c>
    </row>
    <row r="23" ht="22" customHeight="1">
      <c r="A23" s="17" t="inlineStr">
        <is>
          <t>Total Monthly AI &amp; Platform Cost</t>
        </is>
      </c>
      <c r="B23" s="47" t="inlineStr">
        <is>
          <t>Fully-loaded operating cost of Ask Cheerio support system</t>
        </is>
      </c>
      <c r="C23" s="34">
        <f>C21</f>
        <v/>
      </c>
      <c r="D23" s="16" t="inlineStr">
        <is>
          <t>-</t>
        </is>
      </c>
      <c r="E23" s="48">
        <f>SUM(E21:E22)</f>
        <v/>
      </c>
      <c r="F23" s="18">
        <f>SUM(F21:F22)</f>
        <v/>
      </c>
    </row>
    <row r="25" ht="22" customHeight="1">
      <c r="A25" s="5" t="inlineStr">
        <is>
          <t>3. COST TO SERVE PER ACTIVE BUSINESS</t>
        </is>
      </c>
    </row>
    <row r="26" ht="24" customHeight="1">
      <c r="A26" s="3" t="inlineStr">
        <is>
          <t>Cost to Serve Dimension</t>
        </is>
      </c>
      <c r="B26" s="3" t="inlineStr">
        <is>
          <t>Monthly Cost (INR)</t>
        </is>
      </c>
      <c r="C26" s="3" t="inlineStr">
        <is>
          <t>Active Businesses</t>
        </is>
      </c>
      <c r="D26" s="3" t="inlineStr">
        <is>
          <t>Cost / Business / Mo</t>
        </is>
      </c>
      <c r="E26" s="3" t="inlineStr">
        <is>
          <t>Annual Cost / Business</t>
        </is>
      </c>
      <c r="F26" s="3" t="inlineStr">
        <is>
          <t>Commercial Implication</t>
        </is>
      </c>
    </row>
    <row r="27" ht="20" customHeight="1">
      <c r="A27" s="13" t="inlineStr">
        <is>
          <t>Variable AI Compute Cost to Serve</t>
        </is>
      </c>
      <c r="B27" s="44">
        <f>E21</f>
        <v/>
      </c>
      <c r="C27" s="31">
        <f>Assumptions!C6</f>
        <v/>
      </c>
      <c r="D27" s="43">
        <f>B27/C27</f>
        <v/>
      </c>
      <c r="E27" s="44">
        <f>D27*12</f>
        <v/>
      </c>
      <c r="F27" s="10" t="inlineStr">
        <is>
          <t>Marginal compute COGS per customer per month (₹2.15/mo)</t>
        </is>
      </c>
    </row>
    <row r="28" ht="22" customHeight="1">
      <c r="A28" s="17" t="inlineStr">
        <is>
          <t>Fully Loaded Platform Cost to Serve</t>
        </is>
      </c>
      <c r="B28" s="49">
        <f>E23</f>
        <v/>
      </c>
      <c r="C28" s="50">
        <f>Assumptions!C6</f>
        <v/>
      </c>
      <c r="D28" s="48">
        <f>B28/C28</f>
        <v/>
      </c>
      <c r="E28" s="49">
        <f>D28*12</f>
        <v/>
      </c>
      <c r="F28" s="20" t="inlineStr">
        <is>
          <t>Full platform cost including fixed infra upkeep (₹12.15/mo)</t>
        </is>
      </c>
    </row>
    <row r="30" ht="22" customHeight="1">
      <c r="A30" s="5" t="inlineStr">
        <is>
          <t>4. MODEL SENSITIVITY: CLAUDE HAIKU 4.5 vs CLAUDE SONNET 4.6</t>
        </is>
      </c>
    </row>
    <row r="31" ht="24" customHeight="1">
      <c r="A31" s="3" t="inlineStr">
        <is>
          <t>Model Architecture</t>
        </is>
      </c>
      <c r="B31" s="3" t="inlineStr">
        <is>
          <t>Input $/1M</t>
        </is>
      </c>
      <c r="C31" s="3" t="inlineStr">
        <is>
          <t>Output $/1M</t>
        </is>
      </c>
      <c r="D31" s="3" t="inlineStr">
        <is>
          <t>Base USD/Conv</t>
        </is>
      </c>
      <c r="E31" s="3" t="inlineStr">
        <is>
          <t>Buffered USD</t>
        </is>
      </c>
      <c r="F31" s="3" t="inlineStr">
        <is>
          <t>Cost / Conv (INR)</t>
        </is>
      </c>
      <c r="G31" s="3" t="inlineStr">
        <is>
          <t>Monthly AI Cost (3,950 convs)</t>
        </is>
      </c>
      <c r="H31" s="3" t="inlineStr">
        <is>
          <t>Cost / Biz / Mo</t>
        </is>
      </c>
    </row>
    <row r="32" ht="20" customHeight="1">
      <c r="A32" s="13" t="inlineStr">
        <is>
          <t>Claude Haiku 4.5 (Production Default)</t>
        </is>
      </c>
      <c r="B32" s="51">
        <f>Assumptions!C29</f>
        <v/>
      </c>
      <c r="C32" s="51">
        <f>Assumptions!D29</f>
        <v/>
      </c>
      <c r="D32" s="24">
        <f>Assumptions!E29</f>
        <v/>
      </c>
      <c r="E32" s="24">
        <f>D32*(1+Assumptions!$C$26)</f>
        <v/>
      </c>
      <c r="F32" s="43">
        <f>E32*Assumptions!$C$27</f>
        <v/>
      </c>
      <c r="G32" s="43">
        <f>Volume!$E$8*F32</f>
        <v/>
      </c>
      <c r="H32" s="44">
        <f>G32/Assumptions!$C$6</f>
        <v/>
      </c>
    </row>
    <row r="33" ht="20" customHeight="1">
      <c r="A33" s="7" t="inlineStr">
        <is>
          <t>Claude Sonnet 4.6 (Alternative)</t>
        </is>
      </c>
      <c r="B33" s="51">
        <f>Assumptions!C30</f>
        <v/>
      </c>
      <c r="C33" s="51">
        <f>Assumptions!D30</f>
        <v/>
      </c>
      <c r="D33" s="24">
        <f>Assumptions!E30</f>
        <v/>
      </c>
      <c r="E33" s="24">
        <f>D33*(1+Assumptions!$C$26)</f>
        <v/>
      </c>
      <c r="F33" s="44">
        <f>E33*Assumptions!$C$27</f>
        <v/>
      </c>
      <c r="G33" s="44">
        <f>Volume!$E$8*F33</f>
        <v/>
      </c>
      <c r="H33" s="44">
        <f>G33/Assumptions!$C$6</f>
        <v/>
      </c>
    </row>
    <row r="34" ht="22" customHeight="1">
      <c r="A34" s="17" t="inlineStr">
        <is>
          <t>Variance (Sonnet 4.6 vs Haiku 4.5)</t>
        </is>
      </c>
      <c r="B34" s="52">
        <f>B33-B32</f>
        <v/>
      </c>
      <c r="C34" s="52">
        <f>C33-C32</f>
        <v/>
      </c>
      <c r="D34" s="53">
        <f>D33-D32</f>
        <v/>
      </c>
      <c r="E34" s="53">
        <f>E33-E32</f>
        <v/>
      </c>
      <c r="F34" s="54">
        <f>F33-F32</f>
        <v/>
      </c>
      <c r="G34" s="55">
        <f>G33-G32</f>
        <v/>
      </c>
      <c r="H34" s="56">
        <f>H33-H32</f>
        <v/>
      </c>
    </row>
  </sheetData>
  <mergeCells count="6">
    <mergeCell ref="A2:F2"/>
    <mergeCell ref="A30:H30"/>
    <mergeCell ref="A19:F19"/>
    <mergeCell ref="A1:F1"/>
    <mergeCell ref="A4:F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  <col width="24" customWidth="1" min="4" max="4"/>
    <col width="24" customWidth="1" min="5" max="5"/>
    <col width="65" customWidth="1" min="6" max="6"/>
  </cols>
  <sheetData>
    <row r="1" ht="26" customHeight="1">
      <c r="A1" s="1" t="inlineStr">
        <is>
          <t>Cheerio AI — Support Operations Savings &amp; ROI Model</t>
        </is>
      </c>
    </row>
    <row r="2" ht="18" customHeight="1">
      <c r="A2" s="2" t="inlineStr">
        <is>
          <t>Comparative labor economics • Unassisted vs AI-assisted ticket handling • Net financial savings &amp; capacity unlocked</t>
        </is>
      </c>
    </row>
    <row r="3" ht="8" customHeight="1"/>
    <row r="4" ht="22" customHeight="1">
      <c r="A4" s="5" t="inlineStr">
        <is>
          <t>1. HUMAN SUPPORT LABOR UNIT ECONOMICS</t>
        </is>
      </c>
    </row>
    <row r="5" ht="24" customHeight="1">
      <c r="A5" s="3" t="inlineStr">
        <is>
          <t>Ref #</t>
        </is>
      </c>
      <c r="B5" s="3" t="inlineStr">
        <is>
          <t>Labor Economics Parameter</t>
        </is>
      </c>
      <c r="C5" s="3" t="inlineStr">
        <is>
          <t>Value</t>
        </is>
      </c>
      <c r="D5" s="3" t="inlineStr">
        <is>
          <t>Unit</t>
        </is>
      </c>
      <c r="E5" s="3" t="inlineStr">
        <is>
          <t>Calculation Formula</t>
        </is>
      </c>
      <c r="F5" s="3" t="inlineStr">
        <is>
          <t>Operational Interpretation</t>
        </is>
      </c>
    </row>
    <row r="6" ht="20" customHeight="1">
      <c r="A6" s="6" t="inlineStr">
        <is>
          <t>L_SAL</t>
        </is>
      </c>
      <c r="B6" s="7" t="inlineStr">
        <is>
          <t>Base Agent Monthly Salary</t>
        </is>
      </c>
      <c r="C6" s="45">
        <f>Assumptions!C33</f>
        <v/>
      </c>
      <c r="D6" s="9" t="inlineStr">
        <is>
          <t>-</t>
        </is>
      </c>
      <c r="E6" s="41">
        <f>Assumptions!C33</f>
        <v/>
      </c>
      <c r="F6" s="10" t="inlineStr">
        <is>
          <t>Base compensation for L1 support specialist in Jaipur / Tier-2 India</t>
        </is>
      </c>
    </row>
    <row r="7" ht="20" customHeight="1">
      <c r="A7" s="6" t="inlineStr">
        <is>
          <t>L_LOAD</t>
        </is>
      </c>
      <c r="B7" s="7" t="inlineStr">
        <is>
          <t>Benefits, Infrastructure &amp; Overhead Load</t>
        </is>
      </c>
      <c r="C7" s="30">
        <f>Assumptions!C34</f>
        <v/>
      </c>
      <c r="D7" s="9" t="inlineStr">
        <is>
          <t>-</t>
        </is>
      </c>
      <c r="E7" s="41">
        <f>Assumptions!C34</f>
        <v/>
      </c>
      <c r="F7" s="10" t="inlineStr">
        <is>
          <t>30.0% fully loaded employer burden (PF, health, laptop, Team Lead overhead)</t>
        </is>
      </c>
    </row>
    <row r="8" ht="20" customHeight="1">
      <c r="A8" s="6" t="inlineStr">
        <is>
          <t>L_CTC</t>
        </is>
      </c>
      <c r="B8" s="7" t="inlineStr">
        <is>
          <t>Total Loaded Monthly Cost per Agent</t>
        </is>
      </c>
      <c r="C8" s="44">
        <f>C6*(1+C7)</f>
        <v/>
      </c>
      <c r="D8" s="9" t="inlineStr">
        <is>
          <t>-</t>
        </is>
      </c>
      <c r="E8" s="41">
        <f>Base Salary * (1 + Overhead %)</f>
        <v/>
      </c>
      <c r="F8" s="10" t="inlineStr">
        <is>
          <t>₹32,500 loaded cost to company per support specialist</t>
        </is>
      </c>
    </row>
    <row r="9" ht="20" customHeight="1">
      <c r="A9" s="6" t="inlineStr">
        <is>
          <t>L_HRS</t>
        </is>
      </c>
      <c r="B9" s="7" t="inlineStr">
        <is>
          <t>Working Hours per Month</t>
        </is>
      </c>
      <c r="C9" s="31">
        <f>Assumptions!C36</f>
        <v/>
      </c>
      <c r="D9" s="9" t="inlineStr">
        <is>
          <t>-</t>
        </is>
      </c>
      <c r="E9" s="41">
        <f>Assumptions!C36</f>
        <v/>
      </c>
      <c r="F9" s="10" t="inlineStr">
        <is>
          <t>176 hours scheduled (22 working days * 8 hours / shift)</t>
        </is>
      </c>
    </row>
    <row r="10" ht="20" customHeight="1">
      <c r="A10" s="6" t="inlineStr">
        <is>
          <t>L_UTL</t>
        </is>
      </c>
      <c r="B10" s="7" t="inlineStr">
        <is>
          <t>Agent Productive Queue Utilisation</t>
        </is>
      </c>
      <c r="C10" s="30">
        <f>Assumptions!C37</f>
        <v/>
      </c>
      <c r="D10" s="9" t="inlineStr">
        <is>
          <t>-</t>
        </is>
      </c>
      <c r="E10" s="41">
        <f>Assumptions!C37</f>
        <v/>
      </c>
      <c r="F10" s="10" t="inlineStr">
        <is>
          <t>70.0% productive queue time (remaining 30% for breaks, handovers &amp; QA coaching)</t>
        </is>
      </c>
    </row>
    <row r="11" ht="20" customHeight="1">
      <c r="A11" s="6" t="inlineStr">
        <is>
          <t>L_PRD_HRS</t>
        </is>
      </c>
      <c r="B11" s="7" t="inlineStr">
        <is>
          <t>Productive Handling Hours per Month</t>
        </is>
      </c>
      <c r="C11" s="32">
        <f>C9*C10</f>
        <v/>
      </c>
      <c r="D11" s="9" t="inlineStr">
        <is>
          <t>-</t>
        </is>
      </c>
      <c r="E11" s="41">
        <f>Working Hours * Utilisation %</f>
        <v/>
      </c>
      <c r="F11" s="10" t="inlineStr">
        <is>
          <t>123.2 net effective ticket-handling hours per agent</t>
        </is>
      </c>
    </row>
    <row r="12" ht="20" customHeight="1">
      <c r="A12" s="6" t="inlineStr">
        <is>
          <t>L_HR_RATE</t>
        </is>
      </c>
      <c r="B12" s="7" t="inlineStr">
        <is>
          <t>Loaded Cost per Productive Hour</t>
        </is>
      </c>
      <c r="C12" s="44">
        <f>C8/C11</f>
        <v/>
      </c>
      <c r="D12" s="9" t="inlineStr">
        <is>
          <t>INR / hr</t>
        </is>
      </c>
      <c r="E12" s="41">
        <f>Loaded Cost / Productive Hours</f>
        <v/>
      </c>
      <c r="F12" s="10" t="inlineStr">
        <is>
          <t>₹263.80 fully loaded hourly cost of human support labor</t>
        </is>
      </c>
    </row>
    <row r="13" ht="20" customHeight="1">
      <c r="A13" s="6" t="inlineStr">
        <is>
          <t>L_MIN_RATE</t>
        </is>
      </c>
      <c r="B13" s="7" t="inlineStr">
        <is>
          <t>Loaded Cost per Productive Minute</t>
        </is>
      </c>
      <c r="C13" s="44">
        <f>C12/60</f>
        <v/>
      </c>
      <c r="D13" s="9" t="inlineStr">
        <is>
          <t>INR / min</t>
        </is>
      </c>
      <c r="E13" s="41">
        <f>Hourly Cost / 60 min</f>
        <v/>
      </c>
      <c r="F13" s="10" t="inlineStr">
        <is>
          <t>₹4.40 labor cost per productive ticket handling minute</t>
        </is>
      </c>
    </row>
    <row r="14" ht="20" customHeight="1">
      <c r="A14" s="6" t="inlineStr">
        <is>
          <t>L_HT_UNAST</t>
        </is>
      </c>
      <c r="B14" s="7" t="inlineStr">
        <is>
          <t>Unassisted Ticket Handle Time</t>
        </is>
      </c>
      <c r="C14" s="32">
        <f>Assumptions!C42</f>
        <v/>
      </c>
      <c r="D14" s="9" t="inlineStr">
        <is>
          <t>Minutes</t>
        </is>
      </c>
      <c r="E14" s="41">
        <f>Assumptions!C42</f>
        <v/>
      </c>
      <c r="F14" s="10" t="inlineStr">
        <is>
          <t>18.0 minutes per unassisted ticket (reading logs, diagnosing, drafting)</t>
        </is>
      </c>
    </row>
    <row r="15" ht="20" customHeight="1">
      <c r="A15" s="6" t="inlineStr">
        <is>
          <t>L_CST_UNAST</t>
        </is>
      </c>
      <c r="B15" s="13" t="inlineStr">
        <is>
          <t>Cost per Human Ticket @ 18 min (Unassisted)</t>
        </is>
      </c>
      <c r="C15" s="43">
        <f>C13*C14</f>
        <v/>
      </c>
      <c r="D15" s="9" t="inlineStr">
        <is>
          <t>INR / ticket</t>
        </is>
      </c>
      <c r="E15" s="41">
        <f>Minute Rate * 18 min</f>
        <v/>
      </c>
      <c r="F15" s="10" t="inlineStr">
        <is>
          <t>₹79.14 cost per unassisted ticket (Status Quo benchmark)</t>
        </is>
      </c>
    </row>
    <row r="16" ht="20" customHeight="1">
      <c r="A16" s="6" t="inlineStr">
        <is>
          <t>L_HT_ESCAL</t>
        </is>
      </c>
      <c r="B16" s="7" t="inlineStr">
        <is>
          <t>Escalated Ticket Handle Time (with AI Summary)</t>
        </is>
      </c>
      <c r="C16" s="32">
        <f>Assumptions!C43</f>
        <v/>
      </c>
      <c r="D16" s="9" t="inlineStr">
        <is>
          <t>Minutes</t>
        </is>
      </c>
      <c r="E16" s="41">
        <f>Assumptions!C43</f>
        <v/>
      </c>
      <c r="F16" s="10" t="inlineStr">
        <is>
          <t>12.0 minutes per escalated ticket (33.3% faster due to pre-packaged handoff card)</t>
        </is>
      </c>
    </row>
    <row r="17" ht="20" customHeight="1">
      <c r="A17" s="6" t="inlineStr">
        <is>
          <t>L_CST_ESCAL</t>
        </is>
      </c>
      <c r="B17" s="13" t="inlineStr">
        <is>
          <t>Cost per Escalated Ticket @ 12 min (Assisted)</t>
        </is>
      </c>
      <c r="C17" s="43">
        <f>C13*C16</f>
        <v/>
      </c>
      <c r="D17" s="9" t="inlineStr">
        <is>
          <t>INR / ticket</t>
        </is>
      </c>
      <c r="E17" s="41">
        <f>Minute Rate * 12 min</f>
        <v/>
      </c>
      <c r="F17" s="10" t="inlineStr">
        <is>
          <t>₹52.76 cost per escalated ticket with full context</t>
        </is>
      </c>
    </row>
    <row r="18" ht="20" customHeight="1">
      <c r="A18" s="6" t="inlineStr">
        <is>
          <t>L_SAV_TKT</t>
        </is>
      </c>
      <c r="B18" s="7" t="inlineStr">
        <is>
          <t>Labor Saving per Escalated Ticket</t>
        </is>
      </c>
      <c r="C18" s="44">
        <f>C15-C17</f>
        <v/>
      </c>
      <c r="D18" s="9" t="inlineStr">
        <is>
          <t>INR / ticket</t>
        </is>
      </c>
      <c r="E18" s="41">
        <f>Unassisted Cost - Escalated Cost</f>
        <v/>
      </c>
      <c r="F18" s="10" t="inlineStr">
        <is>
          <t>₹26.38 labor saving per ticket handed off to human support</t>
        </is>
      </c>
    </row>
    <row r="20" ht="22" customHeight="1">
      <c r="A20" s="5" t="inlineStr">
        <is>
          <t>2. COMPREHENSIVE MONTHLY COMPARISON: HUMAN-ONLY vs WITH-ASSISTANT</t>
        </is>
      </c>
    </row>
    <row r="21" ht="24" customHeight="1">
      <c r="A21" s="3" t="inlineStr">
        <is>
          <t>Operational &amp; Financial Dimension</t>
        </is>
      </c>
      <c r="B21" s="3" t="inlineStr">
        <is>
          <t>Status Quo: Human-Only Support</t>
        </is>
      </c>
      <c r="C21" s="3" t="inlineStr">
        <is>
          <t>With Assistant: Month-3 Target (40%)</t>
        </is>
      </c>
      <c r="D21" s="3" t="inlineStr">
        <is>
          <t>With Assistant: Steady State (47.75%)</t>
        </is>
      </c>
      <c r="E21" s="3" t="inlineStr">
        <is>
          <t>Monthly Variance (Target vs Status Quo)</t>
        </is>
      </c>
      <c r="F21" s="3" t="inlineStr">
        <is>
          <t>Calculation Logic &amp; Reference</t>
        </is>
      </c>
    </row>
    <row r="22" ht="20" customHeight="1">
      <c r="A22" s="7" t="inlineStr">
        <is>
          <t>Total Monthly Inbound Inquiries</t>
        </is>
      </c>
      <c r="B22" s="31">
        <f>Volume!E8</f>
        <v/>
      </c>
      <c r="C22" s="33">
        <f>Volume!E8</f>
        <v/>
      </c>
      <c r="D22" s="33">
        <f>Volume!E8</f>
        <v/>
      </c>
      <c r="E22" s="31">
        <f>C22-B22</f>
        <v/>
      </c>
      <c r="F22" s="10">
        <f>Volume!E8 (3,950 queries)</f>
        <v/>
      </c>
    </row>
    <row r="23" ht="20" customHeight="1">
      <c r="A23" s="7" t="inlineStr">
        <is>
          <t>AI Self-Serve Resolution Rate %</t>
        </is>
      </c>
      <c r="B23" s="30" t="n">
        <v>0</v>
      </c>
      <c r="C23" s="37">
        <f>Assumptions!C11</f>
        <v/>
      </c>
      <c r="D23" s="37">
        <f>Assumptions!C12</f>
        <v/>
      </c>
      <c r="E23" s="30">
        <f>C23-B23</f>
        <v/>
      </c>
      <c r="F23" s="10" t="inlineStr">
        <is>
          <t>0% vs 40.0% target vs 47.75% steady state</t>
        </is>
      </c>
    </row>
    <row r="24" ht="20" customHeight="1">
      <c r="A24" s="7" t="inlineStr">
        <is>
          <t>Inquiries Resolved by AI Assistant</t>
        </is>
      </c>
      <c r="B24" s="31" t="n">
        <v>0</v>
      </c>
      <c r="C24" s="33">
        <f>Volume!C14</f>
        <v/>
      </c>
      <c r="D24" s="33">
        <f>Volume!D14</f>
        <v/>
      </c>
      <c r="E24" s="31">
        <f>C24-B24</f>
        <v/>
      </c>
      <c r="F24" s="10" t="inlineStr">
        <is>
          <t>Self-serve resolutions without human touch</t>
        </is>
      </c>
    </row>
    <row r="25" ht="20" customHeight="1">
      <c r="A25" s="7" t="inlineStr">
        <is>
          <t>Tickets Handled by Human Agents</t>
        </is>
      </c>
      <c r="B25" s="31">
        <f>B22</f>
        <v/>
      </c>
      <c r="C25" s="33">
        <f>Volume!C15</f>
        <v/>
      </c>
      <c r="D25" s="33">
        <f>Volume!D15</f>
        <v/>
      </c>
      <c r="E25" s="31">
        <f>C25-B25</f>
        <v/>
      </c>
      <c r="F25" s="10" t="inlineStr">
        <is>
          <t>Human ticket volume (3,950 vs 2,370 vs 2,064)</t>
        </is>
      </c>
    </row>
    <row r="26" ht="20" customHeight="1">
      <c r="A26" s="7" t="inlineStr">
        <is>
          <t>Average Human Handle Time per Ticket</t>
        </is>
      </c>
      <c r="B26" s="32">
        <f>C14</f>
        <v/>
      </c>
      <c r="C26" s="57">
        <f>C16</f>
        <v/>
      </c>
      <c r="D26" s="57">
        <f>C16</f>
        <v/>
      </c>
      <c r="E26" s="32">
        <f>C26-B26</f>
        <v/>
      </c>
      <c r="F26" s="10" t="inlineStr">
        <is>
          <t>18.0 min unassisted vs 12.0 min with AI summary</t>
        </is>
      </c>
    </row>
    <row r="27" ht="20" customHeight="1">
      <c r="A27" s="7" t="inlineStr">
        <is>
          <t>Total Human Support Hours Required</t>
        </is>
      </c>
      <c r="B27" s="32">
        <f>(B25*B26)/60</f>
        <v/>
      </c>
      <c r="C27" s="57">
        <f>(C25*C26)/60</f>
        <v/>
      </c>
      <c r="D27" s="57">
        <f>(D25*D26)/60</f>
        <v/>
      </c>
      <c r="E27" s="32">
        <f>C27-B27</f>
        <v/>
      </c>
      <c r="F27" s="10">
        <f>(Tickets * Handle Time) / 60 (1,185 hrs vs 474 hrs)</f>
        <v/>
      </c>
    </row>
    <row r="28" ht="20" customHeight="1">
      <c r="A28" s="13" t="inlineStr">
        <is>
          <t>Support Agents Needed (FTEs)</t>
        </is>
      </c>
      <c r="B28" s="57">
        <f>B27/$C$11</f>
        <v/>
      </c>
      <c r="C28" s="58">
        <f>C27/$C$11</f>
        <v/>
      </c>
      <c r="D28" s="58">
        <f>D27/$C$11</f>
        <v/>
      </c>
      <c r="E28" s="32">
        <f>C28-B28</f>
        <v/>
      </c>
      <c r="F28" s="10" t="inlineStr">
        <is>
          <t>Agents needed = Hours / 123.2 productive hrs (9.6 vs 3.9 agents)</t>
        </is>
      </c>
    </row>
    <row r="29" ht="20" customHeight="1">
      <c r="A29" s="7" t="inlineStr">
        <is>
          <t>Gross Human Support Labor Cost</t>
        </is>
      </c>
      <c r="B29" s="44">
        <f>B25*$C$15</f>
        <v/>
      </c>
      <c r="C29" s="46">
        <f>C25*$C$17</f>
        <v/>
      </c>
      <c r="D29" s="46">
        <f>D25*$C$17</f>
        <v/>
      </c>
      <c r="E29" s="44">
        <f>C29-B29</f>
        <v/>
      </c>
      <c r="F29" s="10" t="inlineStr">
        <is>
          <t>Direct human specialist salary &amp; loaded overhead</t>
        </is>
      </c>
    </row>
    <row r="30" ht="20" customHeight="1">
      <c r="A30" s="7" t="inlineStr">
        <is>
          <t>Variable AI API Inference Cost</t>
        </is>
      </c>
      <c r="B30" s="44" t="n">
        <v>0</v>
      </c>
      <c r="C30" s="46">
        <f>Cost!E21</f>
        <v/>
      </c>
      <c r="D30" s="46">
        <f>Cost!E21</f>
        <v/>
      </c>
      <c r="E30" s="44">
        <f>C30-B30</f>
        <v/>
      </c>
      <c r="F30" s="10" t="inlineStr">
        <is>
          <t>Claude Haiku 4.5 API cost with 30% buffer (=₹10,732.15)</t>
        </is>
      </c>
    </row>
    <row r="31" ht="20" customHeight="1">
      <c r="A31" s="7" t="inlineStr">
        <is>
          <t>Fixed Platform Upkeep &amp; Infra</t>
        </is>
      </c>
      <c r="B31" s="44" t="n">
        <v>0</v>
      </c>
      <c r="C31" s="46">
        <f>Assumptions!C44</f>
        <v/>
      </c>
      <c r="D31" s="46">
        <f>Assumptions!C44</f>
        <v/>
      </c>
      <c r="E31" s="44">
        <f>C31-B31</f>
        <v/>
      </c>
      <c r="F31" s="10" t="inlineStr">
        <is>
          <t>Vector DB, cloud hosting, 0.25 FTE upkeep (=₹50,000.00)</t>
        </is>
      </c>
    </row>
    <row r="32" ht="22" customHeight="1">
      <c r="A32" s="17" t="inlineStr">
        <is>
          <t>Total Monthly Support Expenditure</t>
        </is>
      </c>
      <c r="B32" s="54">
        <f>SUM(B29:B31)</f>
        <v/>
      </c>
      <c r="C32" s="48">
        <f>SUM(C29:C31)</f>
        <v/>
      </c>
      <c r="D32" s="48">
        <f>SUM(D29:D31)</f>
        <v/>
      </c>
      <c r="E32" s="56">
        <f>C32-B32</f>
        <v/>
      </c>
      <c r="F32" s="20" t="inlineStr">
        <is>
          <t>Human-only: ~₹3.13 Lakh | With Assistant: ~₹1.86 Lakh</t>
        </is>
      </c>
    </row>
    <row r="33" ht="20" customHeight="1">
      <c r="A33" s="13" t="inlineStr">
        <is>
          <t>Net Monthly Savings (INR)</t>
        </is>
      </c>
      <c r="B33" s="46" t="n">
        <v>0</v>
      </c>
      <c r="C33" s="43">
        <f>$B$32-C32</f>
        <v/>
      </c>
      <c r="D33" s="43">
        <f>$B$32-D32</f>
        <v/>
      </c>
      <c r="E33" s="44">
        <f>C33</f>
        <v/>
      </c>
      <c r="F33" s="10" t="inlineStr">
        <is>
          <t>Net bottom-line savings (Target: ~₹1.27 Lakh | Steady: ~₹1.43 Lakh)</t>
        </is>
      </c>
    </row>
    <row r="34" ht="20" customHeight="1">
      <c r="A34" s="13" t="inlineStr">
        <is>
          <t>Net Cost Reduction (%)</t>
        </is>
      </c>
      <c r="B34" s="37" t="n">
        <v>0</v>
      </c>
      <c r="C34" s="39">
        <f>C33/$B$32</f>
        <v/>
      </c>
      <c r="D34" s="39">
        <f>D33/$B$32</f>
        <v/>
      </c>
      <c r="E34" s="30">
        <f>C34</f>
        <v/>
      </c>
      <c r="F34" s="10" t="inlineStr">
        <is>
          <t>Net savings % (Target: ~41% | Steady: ~46%)</t>
        </is>
      </c>
    </row>
    <row r="35" ht="20" customHeight="1">
      <c r="A35" s="7" t="inlineStr">
        <is>
          <t>Annualised Net Savings (INR)</t>
        </is>
      </c>
      <c r="B35" s="45" t="n">
        <v>0</v>
      </c>
      <c r="C35" s="59">
        <f>C33*12</f>
        <v/>
      </c>
      <c r="D35" s="59">
        <f>D33*12</f>
        <v/>
      </c>
      <c r="E35" s="45">
        <f>C35</f>
        <v/>
      </c>
      <c r="F35" s="10" t="inlineStr">
        <is>
          <t>Target: ₹15.22 Lakhs / year | Steady: ₹17.16 Lakhs / year</t>
        </is>
      </c>
    </row>
  </sheetData>
  <mergeCells count="4">
    <mergeCell ref="A20:F20"/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46E5"/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18" customWidth="1" min="4" max="4"/>
    <col width="24" customWidth="1" min="5" max="5"/>
    <col width="65" customWidth="1" min="6" max="6"/>
    <col width="26" customWidth="1" min="7" max="7"/>
    <col width="65" customWidth="1" min="8" max="8"/>
  </cols>
  <sheetData>
    <row r="1" ht="26" customHeight="1">
      <c r="A1" s="1" t="inlineStr">
        <is>
          <t>Cheerio AI — Packaging, Commercial Strategy &amp; Add-On Unit Economics</t>
        </is>
      </c>
    </row>
    <row r="2" ht="18" customHeight="1">
      <c r="A2" s="2" t="inlineStr">
        <is>
          <t>Strategic evaluation of packaging models • Cost to serve vs net savings • 'Done-for-you' setup add-on margin</t>
        </is>
      </c>
    </row>
    <row r="3" ht="8" customHeight="1"/>
    <row r="4" ht="22" customHeight="1">
      <c r="A4" s="5" t="inlineStr">
        <is>
          <t>1. STRATEGIC EVALUATION OF PACKAGING &amp; MONETISATION OPTIONS</t>
        </is>
      </c>
    </row>
    <row r="5" ht="24" customHeight="1">
      <c r="A5" s="3" t="inlineStr">
        <is>
          <t>Option #</t>
        </is>
      </c>
      <c r="B5" s="3" t="inlineStr">
        <is>
          <t>Packaging Model</t>
        </is>
      </c>
      <c r="C5" s="3" t="inlineStr">
        <is>
          <t>Commercial Mechanics</t>
        </is>
      </c>
      <c r="D5" s="3" t="inlineStr">
        <is>
          <t>Customer Adoption Impact</t>
        </is>
      </c>
      <c r="E5" s="3" t="inlineStr">
        <is>
          <t>Support Ticket Deflection</t>
        </is>
      </c>
      <c r="F5" s="3" t="inlineStr">
        <is>
          <t>Revenue vs Cost Impact</t>
        </is>
      </c>
      <c r="G5" s="3" t="inlineStr">
        <is>
          <t>Strategic Recommendation</t>
        </is>
      </c>
      <c r="H5" s="3" t="inlineStr">
        <is>
          <t>Pros &amp; Cons Summary</t>
        </is>
      </c>
    </row>
    <row r="6" ht="42" customHeight="1">
      <c r="A6" s="6" t="inlineStr">
        <is>
          <t>OPTION 1</t>
        </is>
      </c>
      <c r="B6" s="13" t="inlineStr">
        <is>
          <t>Free in All Plans</t>
        </is>
      </c>
      <c r="C6" s="10" t="inlineStr">
        <is>
          <t>Included natively across Starter, Growth &amp; Enterprise tiers with 30 conv/mo fair-use cap</t>
        </is>
      </c>
      <c r="D6" s="10" t="inlineStr">
        <is>
          <t>Zero friction; SMB owners get instant 1-click self-serve at point of rejection</t>
        </is>
      </c>
      <c r="E6" s="10" t="inlineStr">
        <is>
          <t>Maximum deflection: 1,580+ tickets diverted from human queue immediately</t>
        </is>
      </c>
      <c r="F6" s="10" t="inlineStr">
        <is>
          <t>₹10.7k AI cost absorbed as COGS; unlocks ₹126.8k monthly operational labor savings</t>
        </is>
      </c>
      <c r="G6" s="60" t="inlineStr">
        <is>
          <t>STRONGLY RECOMMENDED</t>
        </is>
      </c>
      <c r="H6" s="10" t="inlineStr">
        <is>
          <t>PROS: Zero barrier to adoption; eliminates 40%+ tickets; massive 11.8x ROI on AI compute; strong retention driver. CONS: AI cost absorbed in gross margin.</t>
        </is>
      </c>
    </row>
    <row r="7" ht="42" customHeight="1">
      <c r="A7" s="6" t="inlineStr">
        <is>
          <t>OPTION 2</t>
        </is>
      </c>
      <c r="B7" s="13" t="inlineStr">
        <is>
          <t>Per-Conversation (Usage-Based)</t>
        </is>
      </c>
      <c r="C7" s="10" t="inlineStr">
        <is>
          <t>Metered charge (e.g. ₹5 per AI conversation initiated)</t>
        </is>
      </c>
      <c r="D7" s="10" t="inlineStr">
        <is>
          <t>High friction; SMB owners fear unpredictable variable billing</t>
        </is>
      </c>
      <c r="E7" s="10" t="inlineStr">
        <is>
          <t>Severe drop: users bypass AI and raise human tickets to avoid fees!</t>
        </is>
      </c>
      <c r="F7" s="10" t="inlineStr">
        <is>
          <t>Generates modest ₹15k revenue but triggers 1,500+ human tickets costing ₹118k!</t>
        </is>
      </c>
      <c r="G7" s="61" t="inlineStr">
        <is>
          <t>NOT RECOMMENDED</t>
        </is>
      </c>
      <c r="H7" s="10" t="inlineStr">
        <is>
          <t>PROS: Direct usage monetization. CONS: Perverse incentive—users avoid ₹5 fee by raising human tickets that cost Cheerio ₹79 in human labor! Massive margin destruction.</t>
        </is>
      </c>
    </row>
    <row r="8" ht="42" customHeight="1">
      <c r="A8" s="6" t="inlineStr">
        <is>
          <t>OPTION 3</t>
        </is>
      </c>
      <c r="B8" s="13" t="inlineStr">
        <is>
          <t>Pre-paid AI Credits</t>
        </is>
      </c>
      <c r="C8" s="10" t="inlineStr">
        <is>
          <t>Users purchase credit packs (e.g. 500 AI credits for ₹499)</t>
        </is>
      </c>
      <c r="D8" s="10" t="inlineStr">
        <is>
          <t>High confusion; SMB owners like Riya do not understand tokens or credit burn</t>
        </is>
      </c>
      <c r="E8" s="10" t="inlineStr">
        <is>
          <t>Low-Moderate: unspent credits cause hesitation and reluctance to seek help</t>
        </is>
      </c>
      <c r="F8" s="10" t="inlineStr">
        <is>
          <t>Small upfront cash float, but creates heavy support burden for balance disputes</t>
        </is>
      </c>
      <c r="G8" s="61" t="inlineStr">
        <is>
          <t>NOT RECOMMENDED</t>
        </is>
      </c>
      <c r="H8" s="10" t="inlineStr">
        <is>
          <t>PROS: Upfront cash collection. CONS: High cognitive overhead for Indian SMBs; support agents spend time explaining credit balances instead of resolving WhatsApp setups.</t>
        </is>
      </c>
    </row>
    <row r="9" ht="42" customHeight="1">
      <c r="A9" s="6" t="inlineStr">
        <is>
          <t>OPTION 4</t>
        </is>
      </c>
      <c r="B9" s="13" t="inlineStr">
        <is>
          <t>Plan Add-on / Tier Gated</t>
        </is>
      </c>
      <c r="C9" s="10" t="inlineStr">
        <is>
          <t>Gated to higher-tier Pro/Enterprise plans or available as ₹999/mo add-on</t>
        </is>
      </c>
      <c r="D9" s="10" t="inlineStr">
        <is>
          <t>Excludes Starter &amp; Growth SMBs who experience 80% of onboarding failures</t>
        </is>
      </c>
      <c r="E9" s="10" t="inlineStr">
        <is>
          <t>Very poor: majority of tickets come from early-stage users who remain unassisted</t>
        </is>
      </c>
      <c r="F9" s="10" t="inlineStr">
        <is>
          <t>Misses primary business objective of unblocking customer onboarding &amp; churn reduction</t>
        </is>
      </c>
      <c r="G9" s="61" t="inlineStr">
        <is>
          <t>NOT RECOMMENDED</t>
        </is>
      </c>
      <c r="H9" s="10" t="inlineStr">
        <is>
          <t>PROS: Potential tier upgrade incentive. CONS: Leaves 80% of onboarding users stranded on template rejections, causing churn and flooding human queue.</t>
        </is>
      </c>
    </row>
    <row r="11" ht="22" customHeight="1">
      <c r="A11" s="5" t="inlineStr">
        <is>
          <t>2. PER-BUSINESS VALUE CREATION (COST TO SERVE vs NET OPERATIONAL SAVING)</t>
        </is>
      </c>
    </row>
    <row r="12" ht="24" customHeight="1">
      <c r="A12" s="3" t="inlineStr">
        <is>
          <t>Ref #</t>
        </is>
      </c>
      <c r="B12" s="3" t="inlineStr">
        <is>
          <t>Per-Business Financial Metric</t>
        </is>
      </c>
      <c r="C12" s="3" t="inlineStr">
        <is>
          <t>Value (INR)</t>
        </is>
      </c>
      <c r="D12" s="3" t="inlineStr">
        <is>
          <t>Unit</t>
        </is>
      </c>
      <c r="E12" s="3" t="inlineStr">
        <is>
          <t>Calculation Formula &amp; Reference</t>
        </is>
      </c>
      <c r="F12" s="3" t="inlineStr">
        <is>
          <t>Strategic Interpretation &amp; Economics</t>
        </is>
      </c>
    </row>
    <row r="13" ht="20" customHeight="1">
      <c r="A13" s="6" t="inlineStr">
        <is>
          <t>B_BIZ</t>
        </is>
      </c>
      <c r="B13" s="7" t="inlineStr">
        <is>
          <t>Total Active Business Base</t>
        </is>
      </c>
      <c r="C13" s="31">
        <f>Assumptions!C6</f>
        <v/>
      </c>
      <c r="D13" s="9" t="inlineStr">
        <is>
          <t>Businesses</t>
        </is>
      </c>
      <c r="E13" s="41">
        <f>Assumptions!C6</f>
        <v/>
      </c>
      <c r="F13" s="10" t="inlineStr">
        <is>
          <t>Active customer base paying monthly subscription</t>
        </is>
      </c>
    </row>
    <row r="14" ht="20" customHeight="1">
      <c r="A14" s="6" t="inlineStr">
        <is>
          <t>B_CST_VAR</t>
        </is>
      </c>
      <c r="B14" s="7" t="inlineStr">
        <is>
          <t>Variable AI Compute Cost to Serve per Business</t>
        </is>
      </c>
      <c r="C14" s="44">
        <f>Cost!D27</f>
        <v/>
      </c>
      <c r="D14" s="9" t="inlineStr">
        <is>
          <t>INR / biz / mo</t>
        </is>
      </c>
      <c r="E14" s="41">
        <f>Cost!D27</f>
        <v/>
      </c>
      <c r="F14" s="10" t="inlineStr">
        <is>
          <t>Incremental compute cost incurred per active business (₹2.15 / mo)</t>
        </is>
      </c>
    </row>
    <row r="15" ht="20" customHeight="1">
      <c r="A15" s="6" t="inlineStr">
        <is>
          <t>B_CST_TOT</t>
        </is>
      </c>
      <c r="B15" s="7" t="inlineStr">
        <is>
          <t>Fully-Loaded Platform Cost to Serve per Business</t>
        </is>
      </c>
      <c r="C15" s="44">
        <f>Cost!D28</f>
        <v/>
      </c>
      <c r="D15" s="9" t="inlineStr">
        <is>
          <t>INR / biz / mo</t>
        </is>
      </c>
      <c r="E15" s="41">
        <f>Cost!D28</f>
        <v/>
      </c>
      <c r="F15" s="10" t="inlineStr">
        <is>
          <t>Fully absorbed cost including fixed infra upkeep (₹12.15 / mo)</t>
        </is>
      </c>
    </row>
    <row r="16" ht="20" customHeight="1">
      <c r="A16" s="6" t="inlineStr">
        <is>
          <t>B_SAV_GROSS</t>
        </is>
      </c>
      <c r="B16" s="7" t="inlineStr">
        <is>
          <t>Gross Human Support Labor Savings per Business</t>
        </is>
      </c>
      <c r="C16" s="44">
        <f>(Savings!B29-Savings!C29)/C13</f>
        <v/>
      </c>
      <c r="D16" s="9" t="inlineStr">
        <is>
          <t>INR / biz / mo</t>
        </is>
      </c>
      <c r="E16" s="41">
        <f>(Human Labor Status Quo - Assisted Labor) / Businesses</f>
        <v/>
      </c>
      <c r="F16" s="10" t="inlineStr">
        <is>
          <t>Labor expense avoided per business (₹37.51 / mo)</t>
        </is>
      </c>
    </row>
    <row r="17" ht="20" customHeight="1">
      <c r="A17" s="6" t="inlineStr">
        <is>
          <t>B_SAV_NET</t>
        </is>
      </c>
      <c r="B17" s="13" t="inlineStr">
        <is>
          <t>Net Operational Saving per Business</t>
        </is>
      </c>
      <c r="C17" s="43">
        <f>Savings!C33/C13</f>
        <v/>
      </c>
      <c r="D17" s="9" t="inlineStr">
        <is>
          <t>INR / biz / mo</t>
        </is>
      </c>
      <c r="E17" s="41">
        <f>Savings!C33 / 5,000 Businesses</f>
        <v/>
      </c>
      <c r="F17" s="10" t="inlineStr">
        <is>
          <t>₹25.37 net monthly bottom-line profit expansion per business</t>
        </is>
      </c>
    </row>
    <row r="18" ht="20" customHeight="1">
      <c r="A18" s="6" t="inlineStr">
        <is>
          <t>B_ROI_VAR</t>
        </is>
      </c>
      <c r="B18" s="13" t="inlineStr">
        <is>
          <t>ROI Multiple on Variable AI Compute</t>
        </is>
      </c>
      <c r="C18" s="58">
        <f>C17/C14</f>
        <v/>
      </c>
      <c r="D18" s="9" t="inlineStr">
        <is>
          <t>Multiple (x)</t>
        </is>
      </c>
      <c r="E18" s="41">
        <f>Net Saving per Biz / Variable Cost per Biz</f>
        <v/>
      </c>
      <c r="F18" s="10" t="inlineStr">
        <is>
          <t>11.8x ROI: Every ₹1.00 spent on AI compute yields ₹11.80 in net support labor saved</t>
        </is>
      </c>
    </row>
    <row r="19" ht="20" customHeight="1">
      <c r="A19" s="6" t="inlineStr">
        <is>
          <t>B_ROI_TOT</t>
        </is>
      </c>
      <c r="B19" s="7" t="inlineStr">
        <is>
          <t>ROI Multiple on Fully-Loaded Platform Cost</t>
        </is>
      </c>
      <c r="C19" s="32">
        <f>C17/C15</f>
        <v/>
      </c>
      <c r="D19" s="9" t="inlineStr">
        <is>
          <t>Multiple (x)</t>
        </is>
      </c>
      <c r="E19" s="41">
        <f>Net Saving per Biz / Fully-Loaded Cost per Biz</f>
        <v/>
      </c>
      <c r="F19" s="10" t="inlineStr">
        <is>
          <t>2.1x net return even after fully absorbing ₹50,000/mo fixed infra &amp; upkeep</t>
        </is>
      </c>
    </row>
    <row r="21" ht="22" customHeight="1">
      <c r="A21" s="5" t="inlineStr">
        <is>
          <t>3. 'DONE-FOR-YOU' SETUP ADD-ON MARGIN &amp; REVENUE CONTRIBUTION</t>
        </is>
      </c>
    </row>
    <row r="22" ht="24" customHeight="1">
      <c r="A22" s="3" t="inlineStr">
        <is>
          <t>Line Item #</t>
        </is>
      </c>
      <c r="B22" s="3" t="inlineStr">
        <is>
          <t>Setup Service Revenue &amp; Cost Component</t>
        </is>
      </c>
      <c r="C22" s="3" t="inlineStr">
        <is>
          <t>Amount (INR)</t>
        </is>
      </c>
      <c r="D22" s="3" t="inlineStr">
        <is>
          <t>% of Retail Price</t>
        </is>
      </c>
      <c r="E22" s="3" t="inlineStr">
        <is>
          <t>Calculation Logic</t>
        </is>
      </c>
      <c r="F22" s="3" t="inlineStr">
        <is>
          <t>Service Scope &amp; Delivery Specifications</t>
        </is>
      </c>
    </row>
    <row r="23" ht="20" customHeight="1">
      <c r="A23" s="6" t="inlineStr">
        <is>
          <t>DFY_REV</t>
        </is>
      </c>
      <c r="B23" s="13" t="inlineStr">
        <is>
          <t>Retail Price: Done-For-You WhatsApp Setup Add-On</t>
        </is>
      </c>
      <c r="C23" s="46">
        <f>Assumptions!C45</f>
        <v/>
      </c>
      <c r="D23" s="40" t="inlineStr">
        <is>
          <t>100.0%</t>
        </is>
      </c>
      <c r="E23" s="41">
        <f>Assumptions!C45</f>
        <v/>
      </c>
      <c r="F23" s="10" t="inlineStr">
        <is>
          <t>White-glove Meta WABA registration, green tick application &amp; template approval</t>
        </is>
      </c>
    </row>
    <row r="24" ht="20" customHeight="1">
      <c r="A24" s="6" t="inlineStr">
        <is>
          <t>DFY_AG_HRS</t>
        </is>
      </c>
      <c r="B24" s="7" t="inlineStr">
        <is>
          <t>Dedicated Support Specialist Time</t>
        </is>
      </c>
      <c r="C24" s="32">
        <f>Assumptions!C46</f>
        <v/>
      </c>
      <c r="D24" s="40" t="inlineStr">
        <is>
          <t>-</t>
        </is>
      </c>
      <c r="E24" s="41">
        <f>Assumptions!C46</f>
        <v/>
      </c>
      <c r="F24" s="10" t="inlineStr">
        <is>
          <t>2.0 hands-on specialist hours per customer setup</t>
        </is>
      </c>
    </row>
    <row r="25" ht="20" customHeight="1">
      <c r="A25" s="6" t="inlineStr">
        <is>
          <t>DFY_AG_RATE</t>
        </is>
      </c>
      <c r="B25" s="7" t="inlineStr">
        <is>
          <t>Loaded Human Labor Cost per Productive Hour</t>
        </is>
      </c>
      <c r="C25" s="44">
        <f>Assumptions!C39</f>
        <v/>
      </c>
      <c r="D25" s="40" t="inlineStr">
        <is>
          <t>-</t>
        </is>
      </c>
      <c r="E25" s="41">
        <f>Assumptions!C39</f>
        <v/>
      </c>
      <c r="F25" s="10" t="inlineStr">
        <is>
          <t>₹263.80 fully loaded specialist labor cost per productive hour</t>
        </is>
      </c>
    </row>
    <row r="26" ht="20" customHeight="1">
      <c r="A26" s="6" t="inlineStr">
        <is>
          <t>DFY_CST_HUM</t>
        </is>
      </c>
      <c r="B26" s="7" t="inlineStr">
        <is>
          <t>Direct Human Labor Cost per Setup</t>
        </is>
      </c>
      <c r="C26" s="44">
        <f>C24*C25</f>
        <v/>
      </c>
      <c r="D26" s="30">
        <f>C26/$C$23</f>
        <v/>
      </c>
      <c r="E26" s="41">
        <f>Specialist Hours * Hourly Rate</f>
        <v/>
      </c>
      <c r="F26" s="10" t="inlineStr">
        <is>
          <t>₹527.60 direct labor cost to deliver the white-glove setup</t>
        </is>
      </c>
    </row>
    <row r="27" ht="20" customHeight="1">
      <c r="A27" s="6" t="inlineStr">
        <is>
          <t>DFY_QRY_NUM</t>
        </is>
      </c>
      <c r="B27" s="7" t="inlineStr">
        <is>
          <t>Setup Inquiries Handled by AI Assistant</t>
        </is>
      </c>
      <c r="C27" s="32">
        <f>Assumptions!C8</f>
        <v/>
      </c>
      <c r="D27" s="40" t="inlineStr">
        <is>
          <t>-</t>
        </is>
      </c>
      <c r="E27" s="41">
        <f>Assumptions!C8</f>
        <v/>
      </c>
      <c r="F27" s="10" t="inlineStr">
        <is>
          <t>3.0 automated assistant turns during initial onboarding</t>
        </is>
      </c>
    </row>
    <row r="28" ht="20" customHeight="1">
      <c r="A28" s="6" t="inlineStr">
        <is>
          <t>DFY_CST_AI</t>
        </is>
      </c>
      <c r="B28" s="7" t="inlineStr">
        <is>
          <t>AI Assistant Compute Cost per Setup</t>
        </is>
      </c>
      <c r="C28" s="44">
        <f>C27*Cost!C17</f>
        <v/>
      </c>
      <c r="D28" s="30">
        <f>C28/$C$23</f>
        <v/>
      </c>
      <c r="E28" s="41">
        <f>Setup Queries * Cost per Conv (₹2.72)</f>
        <v/>
      </c>
      <c r="F28" s="10" t="inlineStr">
        <is>
          <t>₹8.15 automated diagnostic checks &amp; template validations</t>
        </is>
      </c>
    </row>
    <row r="29" ht="20" customHeight="1">
      <c r="A29" s="6" t="inlineStr">
        <is>
          <t>DFY_CST_TOT</t>
        </is>
      </c>
      <c r="B29" s="7" t="inlineStr">
        <is>
          <t>Total Direct Cost of Delivery per Setup</t>
        </is>
      </c>
      <c r="C29" s="44">
        <f>C26+C28</f>
        <v/>
      </c>
      <c r="D29" s="30">
        <f>C29/$C$23</f>
        <v/>
      </c>
      <c r="E29" s="41">
        <f>Direct Labor Cost + AI Assistant Cost</f>
        <v/>
      </c>
      <c r="F29" s="10" t="inlineStr">
        <is>
          <t>₹535.75 total direct cost to deliver setup service</t>
        </is>
      </c>
    </row>
    <row r="30" ht="20" customHeight="1">
      <c r="A30" s="6" t="inlineStr">
        <is>
          <t>DFY_GP</t>
        </is>
      </c>
      <c r="B30" s="13" t="inlineStr">
        <is>
          <t>Gross Profit per Done-For-You Setup</t>
        </is>
      </c>
      <c r="C30" s="43">
        <f>C23-C29</f>
        <v/>
      </c>
      <c r="D30" s="30">
        <f>C30/$C$23</f>
        <v/>
      </c>
      <c r="E30" s="41">
        <f>Retail Price - Total Direct Cost</f>
        <v/>
      </c>
      <c r="F30" s="10" t="inlineStr">
        <is>
          <t>₹1,463.25 net gross profit contribution per customer setup</t>
        </is>
      </c>
    </row>
    <row r="31" ht="22" customHeight="1">
      <c r="A31" s="16" t="inlineStr">
        <is>
          <t>DFY_MARGIN</t>
        </is>
      </c>
      <c r="B31" s="17" t="inlineStr">
        <is>
          <t>Gross Margin (%)</t>
        </is>
      </c>
      <c r="C31" s="62">
        <f>C30/C23</f>
        <v/>
      </c>
      <c r="D31" s="63">
        <f>C31</f>
        <v/>
      </c>
      <c r="E31" s="47">
        <f>Gross Profit / Retail Price</f>
        <v/>
      </c>
      <c r="F31" s="20" t="inlineStr">
        <is>
          <t>Expected margin: ~73% (73.20% matches prompt expectation)</t>
        </is>
      </c>
    </row>
  </sheetData>
  <mergeCells count="5">
    <mergeCell ref="A4:H4"/>
    <mergeCell ref="A11:F11"/>
    <mergeCell ref="A2:H2"/>
    <mergeCell ref="A1:H1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6" customHeight="1">
      <c r="A1" s="1" t="inlineStr">
        <is>
          <t>Cheerio AI — Sensitivity &amp; Scenario Analysis</t>
        </is>
      </c>
    </row>
    <row r="2" ht="18" customHeight="1">
      <c r="A2" s="2" t="inlineStr">
        <is>
          <t>Live sensitivity tables with formulas • Impact of AI resolution rate and escalated handle time on monthly savings &amp; headcount</t>
        </is>
      </c>
    </row>
    <row r="3" ht="8" customHeight="1"/>
    <row r="4" ht="22" customHeight="1">
      <c r="A4" s="5" t="inlineStr">
        <is>
          <t>TABLE 1: MONTHLY SAVINGS &amp; HEADCOUNT vs AI RESOLUTION RATE</t>
        </is>
      </c>
    </row>
    <row r="5">
      <c r="A5" s="64" t="inlineStr">
        <is>
          <t>Note: Evaluates financial savings and support agent requirements across varying AI resolution rates (20% to 60%) at baseline 12 min escalated handle time.</t>
        </is>
      </c>
    </row>
    <row r="6" ht="24" customHeight="1">
      <c r="A6" s="3" t="inlineStr">
        <is>
          <t>AI Resolution Rate %</t>
        </is>
      </c>
      <c r="B6" s="3" t="inlineStr">
        <is>
          <t>Resolved Queries</t>
        </is>
      </c>
      <c r="C6" s="3" t="inlineStr">
        <is>
          <t>Escalated Queries</t>
        </is>
      </c>
      <c r="D6" s="3" t="inlineStr">
        <is>
          <t>Escalated Human Cost (INR)</t>
        </is>
      </c>
      <c r="E6" s="3" t="inlineStr">
        <is>
          <t>AI Variable Cost (INR)</t>
        </is>
      </c>
      <c r="F6" s="3" t="inlineStr">
        <is>
          <t>Fixed Cost (INR)</t>
        </is>
      </c>
      <c r="G6" s="3" t="inlineStr">
        <is>
          <t>Total Support Cost (INR)</t>
        </is>
      </c>
      <c r="H6" s="3" t="inlineStr">
        <is>
          <t>Monthly Net Saving (INR)</t>
        </is>
      </c>
      <c r="I6" s="3" t="inlineStr">
        <is>
          <t>Net Saving %</t>
        </is>
      </c>
      <c r="J6" s="3" t="inlineStr">
        <is>
          <t>Support Agents Needed (FTEs)</t>
        </is>
      </c>
    </row>
    <row r="7" ht="20" customHeight="1">
      <c r="A7" s="30" t="n">
        <v>0.2</v>
      </c>
      <c r="B7" s="31">
        <f>Volume!$E$8*A7</f>
        <v/>
      </c>
      <c r="C7" s="31">
        <f>Volume!$E$8*(1-A7)</f>
        <v/>
      </c>
      <c r="D7" s="44">
        <f>C7*Savings!$C$17</f>
        <v/>
      </c>
      <c r="E7" s="44">
        <f>Cost!$E$21</f>
        <v/>
      </c>
      <c r="F7" s="45">
        <f>Assumptions!$C$44</f>
        <v/>
      </c>
      <c r="G7" s="46">
        <f>D7+E7+F7</f>
        <v/>
      </c>
      <c r="H7" s="46">
        <f>Savings!$B$32-G7</f>
        <v/>
      </c>
      <c r="I7" s="37">
        <f>H7/Savings!$B$32</f>
        <v/>
      </c>
      <c r="J7" s="57">
        <f>(C7*Assumptions!$C$43/60)/Assumptions!$C$38</f>
        <v/>
      </c>
    </row>
    <row r="8" ht="20" customHeight="1">
      <c r="A8" s="30" t="n">
        <v>0.3</v>
      </c>
      <c r="B8" s="31">
        <f>Volume!$E$8*A8</f>
        <v/>
      </c>
      <c r="C8" s="31">
        <f>Volume!$E$8*(1-A8)</f>
        <v/>
      </c>
      <c r="D8" s="44">
        <f>C8*Savings!$C$17</f>
        <v/>
      </c>
      <c r="E8" s="44">
        <f>Cost!$E$21</f>
        <v/>
      </c>
      <c r="F8" s="45">
        <f>Assumptions!$C$44</f>
        <v/>
      </c>
      <c r="G8" s="46">
        <f>D8+E8+F8</f>
        <v/>
      </c>
      <c r="H8" s="46">
        <f>Savings!$B$32-G8</f>
        <v/>
      </c>
      <c r="I8" s="37">
        <f>H8/Savings!$B$32</f>
        <v/>
      </c>
      <c r="J8" s="57">
        <f>(C8*Assumptions!$C$43/60)/Assumptions!$C$38</f>
        <v/>
      </c>
    </row>
    <row r="9" ht="20" customHeight="1">
      <c r="A9" s="39" t="n">
        <v>0.4</v>
      </c>
      <c r="B9" s="31">
        <f>Volume!$E$8*A9</f>
        <v/>
      </c>
      <c r="C9" s="31">
        <f>Volume!$E$8*(1-A9)</f>
        <v/>
      </c>
      <c r="D9" s="44">
        <f>C9*Savings!$C$17</f>
        <v/>
      </c>
      <c r="E9" s="44">
        <f>Cost!$E$21</f>
        <v/>
      </c>
      <c r="F9" s="45">
        <f>Assumptions!$C$44</f>
        <v/>
      </c>
      <c r="G9" s="46">
        <f>D9+E9+F9</f>
        <v/>
      </c>
      <c r="H9" s="43">
        <f>Savings!$B$32-G9</f>
        <v/>
      </c>
      <c r="I9" s="39">
        <f>H9/Savings!$B$32</f>
        <v/>
      </c>
      <c r="J9" s="57">
        <f>(C9*Assumptions!$C$43/60)/Assumptions!$C$38</f>
        <v/>
      </c>
    </row>
    <row r="10" ht="20" customHeight="1">
      <c r="A10" s="30">
        <f>Assumptions!$C$12</f>
        <v/>
      </c>
      <c r="B10" s="31">
        <f>Volume!$E$8*A10</f>
        <v/>
      </c>
      <c r="C10" s="31">
        <f>Volume!$E$8*(1-A10)</f>
        <v/>
      </c>
      <c r="D10" s="44">
        <f>C10*Savings!$C$17</f>
        <v/>
      </c>
      <c r="E10" s="44">
        <f>Cost!$E$21</f>
        <v/>
      </c>
      <c r="F10" s="45">
        <f>Assumptions!$C$44</f>
        <v/>
      </c>
      <c r="G10" s="46">
        <f>D10+E10+F10</f>
        <v/>
      </c>
      <c r="H10" s="46">
        <f>Savings!$B$32-G10</f>
        <v/>
      </c>
      <c r="I10" s="37">
        <f>H10/Savings!$B$32</f>
        <v/>
      </c>
      <c r="J10" s="57">
        <f>(C10*Assumptions!$C$43/60)/Assumptions!$C$38</f>
        <v/>
      </c>
    </row>
    <row r="11" ht="20" customHeight="1">
      <c r="A11" s="30" t="n">
        <v>0.5</v>
      </c>
      <c r="B11" s="31">
        <f>Volume!$E$8*A11</f>
        <v/>
      </c>
      <c r="C11" s="31">
        <f>Volume!$E$8*(1-A11)</f>
        <v/>
      </c>
      <c r="D11" s="44">
        <f>C11*Savings!$C$17</f>
        <v/>
      </c>
      <c r="E11" s="44">
        <f>Cost!$E$21</f>
        <v/>
      </c>
      <c r="F11" s="45">
        <f>Assumptions!$C$44</f>
        <v/>
      </c>
      <c r="G11" s="46">
        <f>D11+E11+F11</f>
        <v/>
      </c>
      <c r="H11" s="46">
        <f>Savings!$B$32-G11</f>
        <v/>
      </c>
      <c r="I11" s="37">
        <f>H11/Savings!$B$32</f>
        <v/>
      </c>
      <c r="J11" s="57">
        <f>(C11*Assumptions!$C$43/60)/Assumptions!$C$38</f>
        <v/>
      </c>
    </row>
    <row r="12" ht="20" customHeight="1">
      <c r="A12" s="30" t="n">
        <v>0.6</v>
      </c>
      <c r="B12" s="31">
        <f>Volume!$E$8*A12</f>
        <v/>
      </c>
      <c r="C12" s="31">
        <f>Volume!$E$8*(1-A12)</f>
        <v/>
      </c>
      <c r="D12" s="44">
        <f>C12*Savings!$C$17</f>
        <v/>
      </c>
      <c r="E12" s="44">
        <f>Cost!$E$21</f>
        <v/>
      </c>
      <c r="F12" s="45">
        <f>Assumptions!$C$44</f>
        <v/>
      </c>
      <c r="G12" s="46">
        <f>D12+E12+F12</f>
        <v/>
      </c>
      <c r="H12" s="46">
        <f>Savings!$B$32-G12</f>
        <v/>
      </c>
      <c r="I12" s="37">
        <f>H12/Savings!$B$32</f>
        <v/>
      </c>
      <c r="J12" s="57">
        <f>(C12*Assumptions!$C$43/60)/Assumptions!$C$38</f>
        <v/>
      </c>
    </row>
    <row r="15" ht="22" customHeight="1">
      <c r="A15" s="5" t="inlineStr">
        <is>
          <t>TABLE 2: MONTHLY SAVINGS &amp; HEADCOUNT vs ESCALATED HANDLE TIME</t>
        </is>
      </c>
    </row>
    <row r="16">
      <c r="A16" s="64" t="inlineStr">
        <is>
          <t>Note: Evaluates financial savings and support agent requirements across varying human handle times (8 to 18 min) for 2,370 escalated tickets (at 40% resolution target).</t>
        </is>
      </c>
    </row>
    <row r="17" ht="24" customHeight="1">
      <c r="A17" s="3" t="inlineStr">
        <is>
          <t>Escalated Handle Time (min)</t>
        </is>
      </c>
      <c r="B17" s="3" t="inlineStr">
        <is>
          <t>Cost per Escalated Ticket (INR)</t>
        </is>
      </c>
      <c r="C17" s="3" t="inlineStr">
        <is>
          <t>Escalated Human Cost (INR)</t>
        </is>
      </c>
      <c r="D17" s="3" t="inlineStr">
        <is>
          <t>AI Variable Cost (INR)</t>
        </is>
      </c>
      <c r="E17" s="3" t="inlineStr">
        <is>
          <t>Fixed Cost (INR)</t>
        </is>
      </c>
      <c r="F17" s="3" t="inlineStr">
        <is>
          <t>Total Support Cost (INR)</t>
        </is>
      </c>
      <c r="G17" s="3" t="inlineStr">
        <is>
          <t>Monthly Net Saving (INR)</t>
        </is>
      </c>
      <c r="H17" s="3" t="inlineStr">
        <is>
          <t>Net Saving %</t>
        </is>
      </c>
      <c r="I17" s="3" t="inlineStr">
        <is>
          <t>Support Agents Needed (FTEs)</t>
        </is>
      </c>
      <c r="J17" s="3" t="inlineStr">
        <is>
          <t>Handle Time Reduction vs Baseline</t>
        </is>
      </c>
    </row>
    <row r="18" ht="20" customHeight="1">
      <c r="A18" s="32" t="n">
        <v>8</v>
      </c>
      <c r="B18" s="44">
        <f>(A18/60)*Assumptions!$C$39</f>
        <v/>
      </c>
      <c r="C18" s="44">
        <f>Volume!$C$15*B18</f>
        <v/>
      </c>
      <c r="D18" s="44">
        <f>Cost!$E$21</f>
        <v/>
      </c>
      <c r="E18" s="45">
        <f>Assumptions!$C$44</f>
        <v/>
      </c>
      <c r="F18" s="46">
        <f>C18+D18+E18</f>
        <v/>
      </c>
      <c r="G18" s="46">
        <f>Savings!$B$32-F18</f>
        <v/>
      </c>
      <c r="H18" s="37">
        <f>G18/Savings!$B$32</f>
        <v/>
      </c>
      <c r="I18" s="57">
        <f>(Volume!$C$15*A18/60)/Assumptions!$C$38</f>
        <v/>
      </c>
      <c r="J18" s="30">
        <f>(Assumptions!$C$42-A18)/Assumptions!$C$42</f>
        <v/>
      </c>
    </row>
    <row r="19" ht="20" customHeight="1">
      <c r="A19" s="32" t="n">
        <v>10</v>
      </c>
      <c r="B19" s="44">
        <f>(A19/60)*Assumptions!$C$39</f>
        <v/>
      </c>
      <c r="C19" s="44">
        <f>Volume!$C$15*B19</f>
        <v/>
      </c>
      <c r="D19" s="44">
        <f>Cost!$E$21</f>
        <v/>
      </c>
      <c r="E19" s="45">
        <f>Assumptions!$C$44</f>
        <v/>
      </c>
      <c r="F19" s="46">
        <f>C19+D19+E19</f>
        <v/>
      </c>
      <c r="G19" s="46">
        <f>Savings!$B$32-F19</f>
        <v/>
      </c>
      <c r="H19" s="37">
        <f>G19/Savings!$B$32</f>
        <v/>
      </c>
      <c r="I19" s="57">
        <f>(Volume!$C$15*A19/60)/Assumptions!$C$38</f>
        <v/>
      </c>
      <c r="J19" s="30">
        <f>(Assumptions!$C$42-A19)/Assumptions!$C$42</f>
        <v/>
      </c>
    </row>
    <row r="20" ht="20" customHeight="1">
      <c r="A20" s="58" t="n">
        <v>12</v>
      </c>
      <c r="B20" s="44">
        <f>(A20/60)*Assumptions!$C$39</f>
        <v/>
      </c>
      <c r="C20" s="44">
        <f>Volume!$C$15*B20</f>
        <v/>
      </c>
      <c r="D20" s="44">
        <f>Cost!$E$21</f>
        <v/>
      </c>
      <c r="E20" s="45">
        <f>Assumptions!$C$44</f>
        <v/>
      </c>
      <c r="F20" s="46">
        <f>C20+D20+E20</f>
        <v/>
      </c>
      <c r="G20" s="43">
        <f>Savings!$B$32-F20</f>
        <v/>
      </c>
      <c r="H20" s="39">
        <f>G20/Savings!$B$32</f>
        <v/>
      </c>
      <c r="I20" s="57">
        <f>(Volume!$C$15*A20/60)/Assumptions!$C$38</f>
        <v/>
      </c>
      <c r="J20" s="30">
        <f>(Assumptions!$C$42-A20)/Assumptions!$C$42</f>
        <v/>
      </c>
    </row>
    <row r="21" ht="20" customHeight="1">
      <c r="A21" s="32" t="n">
        <v>15</v>
      </c>
      <c r="B21" s="44">
        <f>(A21/60)*Assumptions!$C$39</f>
        <v/>
      </c>
      <c r="C21" s="44">
        <f>Volume!$C$15*B21</f>
        <v/>
      </c>
      <c r="D21" s="44">
        <f>Cost!$E$21</f>
        <v/>
      </c>
      <c r="E21" s="45">
        <f>Assumptions!$C$44</f>
        <v/>
      </c>
      <c r="F21" s="46">
        <f>C21+D21+E21</f>
        <v/>
      </c>
      <c r="G21" s="46">
        <f>Savings!$B$32-F21</f>
        <v/>
      </c>
      <c r="H21" s="37">
        <f>G21/Savings!$B$32</f>
        <v/>
      </c>
      <c r="I21" s="57">
        <f>(Volume!$C$15*A21/60)/Assumptions!$C$38</f>
        <v/>
      </c>
      <c r="J21" s="30">
        <f>(Assumptions!$C$42-A21)/Assumptions!$C$42</f>
        <v/>
      </c>
    </row>
    <row r="22" ht="20" customHeight="1">
      <c r="A22" s="32" t="n">
        <v>18</v>
      </c>
      <c r="B22" s="44">
        <f>(A22/60)*Assumptions!$C$39</f>
        <v/>
      </c>
      <c r="C22" s="44">
        <f>Volume!$C$15*B22</f>
        <v/>
      </c>
      <c r="D22" s="44">
        <f>Cost!$E$21</f>
        <v/>
      </c>
      <c r="E22" s="45">
        <f>Assumptions!$C$44</f>
        <v/>
      </c>
      <c r="F22" s="46">
        <f>C22+D22+E22</f>
        <v/>
      </c>
      <c r="G22" s="46">
        <f>Savings!$B$32-F22</f>
        <v/>
      </c>
      <c r="H22" s="37">
        <f>G22/Savings!$B$32</f>
        <v/>
      </c>
      <c r="I22" s="57">
        <f>(Volume!$C$15*A22/60)/Assumptions!$C$38</f>
        <v/>
      </c>
      <c r="J22" s="30">
        <f>(Assumptions!$C$42-A22)/Assumptions!$C$42</f>
        <v/>
      </c>
    </row>
  </sheetData>
  <mergeCells count="4">
    <mergeCell ref="A15:J15"/>
    <mergeCell ref="A1:J1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11D48"/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20" customWidth="1" min="4" max="4"/>
    <col width="24" customWidth="1" min="5" max="5"/>
    <col width="65" customWidth="1" min="6" max="6"/>
    <col width="16" customWidth="1" min="7" max="7"/>
  </cols>
  <sheetData>
    <row r="1" ht="26" customHeight="1">
      <c r="A1" s="1" t="inlineStr">
        <is>
          <t>Cheerio AI — Quality, Financial Governance &amp; Alert Threshold Matrix</t>
        </is>
      </c>
    </row>
    <row r="2" ht="18" customHeight="1">
      <c r="A2" s="2" t="inlineStr">
        <is>
          <t>Production monitoring checklist • Financial variance thresholds • Operational guardrails &amp; incident escalation paths</t>
        </is>
      </c>
    </row>
    <row r="3" ht="8" customHeight="1"/>
    <row r="4" ht="22" customHeight="1">
      <c r="A4" s="5" t="inlineStr">
        <is>
          <t>1. PRODUCTION ALERT THRESHOLDS &amp; MONITORING PROTOCOL</t>
        </is>
      </c>
    </row>
    <row r="5" ht="24" customHeight="1">
      <c r="A5" s="3" t="inlineStr">
        <is>
          <t>Check #</t>
        </is>
      </c>
      <c r="B5" s="3" t="inlineStr">
        <is>
          <t>Audit / Governance Check</t>
        </is>
      </c>
      <c r="C5" s="3" t="inlineStr">
        <is>
          <t>Alert Threshold</t>
        </is>
      </c>
      <c r="D5" s="3" t="inlineStr">
        <is>
          <t>Monitoring Frequency</t>
        </is>
      </c>
      <c r="E5" s="3" t="inlineStr">
        <is>
          <t>Designated Owner</t>
        </is>
      </c>
      <c r="F5" s="3" t="inlineStr">
        <is>
          <t>Action Protocol if Threshold Breached</t>
        </is>
      </c>
      <c r="G5" s="3" t="inlineStr">
        <is>
          <t>Severity Level</t>
        </is>
      </c>
    </row>
    <row r="6" ht="36" customHeight="1">
      <c r="A6" s="6" t="inlineStr">
        <is>
          <t>AUD_01</t>
        </is>
      </c>
      <c r="B6" s="13" t="inlineStr">
        <is>
          <t>Provider Invoice vs Internal Token Ledger</t>
        </is>
      </c>
      <c r="C6" s="7" t="inlineStr">
        <is>
          <t>Provider bill exceeds internal token ledger by &gt; 5.0% variance</t>
        </is>
      </c>
      <c r="D6" s="9" t="inlineStr">
        <is>
          <t>Monthly</t>
        </is>
      </c>
      <c r="E6" s="7" t="inlineStr">
        <is>
          <t>Lead AI Engineer / FinOps</t>
        </is>
      </c>
      <c r="F6" s="10" t="inlineStr">
        <is>
          <t>Audit prompt caching hit-rate, retry multiplier, and raw HTTP API traffic. Reconcile token telemetry with Anthropic billing console. Investigate potential API key leakage or zombie worker processes.</t>
        </is>
      </c>
      <c r="G6" s="65" t="inlineStr">
        <is>
          <t>High</t>
        </is>
      </c>
    </row>
    <row r="7" ht="36" customHeight="1">
      <c r="A7" s="6" t="inlineStr">
        <is>
          <t>AUD_02</t>
        </is>
      </c>
      <c r="B7" s="13" t="inlineStr">
        <is>
          <t>Cost per Conversation Ceiling</t>
        </is>
      </c>
      <c r="C7" s="7" t="inlineStr">
        <is>
          <t>Blended cost exceeds ₹4.00 per conversation (vs ₹2.72 baseline)</t>
        </is>
      </c>
      <c r="D7" s="9" t="inlineStr">
        <is>
          <t>Weekly</t>
        </is>
      </c>
      <c r="E7" s="7" t="inlineStr">
        <is>
          <t>FinOps &amp; AI Tech Lead</t>
        </is>
      </c>
      <c r="F7" s="10" t="inlineStr">
        <is>
          <t>Inspect conversation turn length and tool call counts. Check if recent prompt release caused token bloat in system instructions or context payloads. Roll back prompt if unnecessary overhead detected.</t>
        </is>
      </c>
      <c r="G7" s="65" t="inlineStr">
        <is>
          <t>High</t>
        </is>
      </c>
    </row>
    <row r="8" ht="36" customHeight="1">
      <c r="A8" s="6" t="inlineStr">
        <is>
          <t>AUD_03</t>
        </is>
      </c>
      <c r="B8" s="13" t="inlineStr">
        <is>
          <t>Daily API Burn vs Budget Run-Rate</t>
        </is>
      </c>
      <c r="C8" s="7" t="inlineStr">
        <is>
          <t>Daily API spend exceeds 80% of daily run-rate on ₹15,000 monthly budget (&gt; ₹400.00 / day)</t>
        </is>
      </c>
      <c r="D8" s="9" t="inlineStr">
        <is>
          <t>Daily (Automated)</t>
        </is>
      </c>
      <c r="E8" s="7" t="inlineStr">
        <is>
          <t>Support Operations Lead</t>
        </is>
      </c>
      <c r="F8" s="10" t="inlineStr">
        <is>
          <t>Trigger automated Slack alert to On-Call Engineer. Check for scraping loops, runaway client polling, or unexpected viral inbound campaign traffic. Temporarily throttle non-essential background evaluations.</t>
        </is>
      </c>
      <c r="G8" s="66" t="inlineStr">
        <is>
          <t>Critical</t>
        </is>
      </c>
    </row>
    <row r="9" ht="36" customHeight="1">
      <c r="A9" s="6" t="inlineStr">
        <is>
          <t>AUD_04</t>
        </is>
      </c>
      <c r="B9" s="13" t="inlineStr">
        <is>
          <t>Single Conversation Token Bloat</t>
        </is>
      </c>
      <c r="C9" s="7" t="inlineStr">
        <is>
          <t>Individual conversation exceeds 40,000 tokens (vs 18,750 baseline)</t>
        </is>
      </c>
      <c r="D9" s="9" t="inlineStr">
        <is>
          <t>Real-time (Automated)</t>
        </is>
      </c>
      <c r="E9" s="7" t="inlineStr">
        <is>
          <t>Lead AI Engineer</t>
        </is>
      </c>
      <c r="F9" s="10" t="inlineStr">
        <is>
          <t>Enforce hard conversation turn limit (max 8 turns). Truncate older context history and force immediate structured handoff to human support with current conversation summary.</t>
        </is>
      </c>
      <c r="G9" s="65" t="inlineStr">
        <is>
          <t>Medium</t>
        </is>
      </c>
    </row>
    <row r="10" ht="36" customHeight="1">
      <c r="A10" s="6" t="inlineStr">
        <is>
          <t>AUD_05</t>
        </is>
      </c>
      <c r="B10" s="13" t="inlineStr">
        <is>
          <t>Account Fair-Use Cap Violation</t>
        </is>
      </c>
      <c r="C10" s="7" t="inlineStr">
        <is>
          <t>Single business exceeds 30 conversations/month or 50 conversations in 24 hours</t>
        </is>
      </c>
      <c r="D10" s="9" t="inlineStr">
        <is>
          <t>Daily / Real-time</t>
        </is>
      </c>
      <c r="E10" s="7" t="inlineStr">
        <is>
          <t>Support Operations Lead</t>
        </is>
      </c>
      <c r="F10" s="10" t="inlineStr">
        <is>
          <t>Soft-cap Ask Cheerio drawer for target account. Display polite user modal: 'Fair-use limit reached. Connecting you to dedicated account manager.' Investigate account for automated bot abuse.</t>
        </is>
      </c>
      <c r="G10" s="65" t="inlineStr">
        <is>
          <t>Medium</t>
        </is>
      </c>
    </row>
    <row r="11" ht="36" customHeight="1">
      <c r="A11" s="6" t="inlineStr">
        <is>
          <t>AUD_06</t>
        </is>
      </c>
      <c r="B11" s="13" t="inlineStr">
        <is>
          <t>AI Resolution Rate WoW Degradation</t>
        </is>
      </c>
      <c r="C11" s="7" t="inlineStr">
        <is>
          <t>AI resolution rate drops by &gt; 5.0 percentage points week-over-week</t>
        </is>
      </c>
      <c r="D11" s="9" t="inlineStr">
        <is>
          <t>Weekly</t>
        </is>
      </c>
      <c r="E11" s="7" t="inlineStr">
        <is>
          <t>Product Manager (AI)</t>
        </is>
      </c>
      <c r="F11" s="10" t="inlineStr">
        <is>
          <t>Audit unhandled customer intents and recent Meta API updates (e.g. new rejection reason codes or policy wording). Review prompt classification logs and patch few-shot retrieval examples.</t>
        </is>
      </c>
      <c r="G11" s="65" t="inlineStr">
        <is>
          <t>High</t>
        </is>
      </c>
    </row>
    <row r="12" ht="36" customHeight="1">
      <c r="A12" s="6" t="inlineStr">
        <is>
          <t>AUD_07</t>
        </is>
      </c>
      <c r="B12" s="13" t="inlineStr">
        <is>
          <t>High Escalation Queue Surge</t>
        </is>
      </c>
      <c r="C12" s="7" t="inlineStr">
        <is>
          <t>Monthly escalation rate exceeds 70.0% (resolution drops below 30.0%)</t>
        </is>
      </c>
      <c r="D12" s="9" t="inlineStr">
        <is>
          <t>Weekly / Monthly</t>
        </is>
      </c>
      <c r="E12" s="7" t="inlineStr">
        <is>
          <t>Head of Customer Support</t>
        </is>
      </c>
      <c r="F12" s="10" t="inlineStr">
        <is>
          <t>Analyze top escalation categories in clustering dashboard. Expand deterministic 1-click fix card coverage for top failing flows. Conduct support team sync to identify emerging platform bugs.</t>
        </is>
      </c>
      <c r="G12" s="65" t="inlineStr">
        <is>
          <t>High</t>
        </is>
      </c>
    </row>
    <row r="13" ht="36" customHeight="1">
      <c r="A13" s="6" t="inlineStr">
        <is>
          <t>AUD_08</t>
        </is>
      </c>
      <c r="B13" s="13" t="inlineStr">
        <is>
          <t>Resolved Ticket Reopen Rate</t>
        </is>
      </c>
      <c r="C13" s="7" t="inlineStr">
        <is>
          <t>Resolved tickets reopened by customer within 48 hours exceeds 15.0%</t>
        </is>
      </c>
      <c r="D13" s="9" t="inlineStr">
        <is>
          <t>Weekly</t>
        </is>
      </c>
      <c r="E13" s="7" t="inlineStr">
        <is>
          <t>Support QA Lead</t>
        </is>
      </c>
      <c r="F13" s="10" t="inlineStr">
        <is>
          <t>Spot-audit 50 randomly sampled closed conversations. Determine whether AI provided incomplete instructions or if Meta subsequently rejected previously fixed templates. Calibrate confidence thresholds.</t>
        </is>
      </c>
      <c r="G13" s="65" t="inlineStr">
        <is>
          <t>Medium</t>
        </is>
      </c>
    </row>
    <row r="14" ht="36" customHeight="1">
      <c r="A14" s="6" t="inlineStr">
        <is>
          <t>AUD_09</t>
        </is>
      </c>
      <c r="B14" s="13" t="inlineStr">
        <is>
          <t>Wrong-Answer &amp; Hallucination Rate</t>
        </is>
      </c>
      <c r="C14" s="7" t="inlineStr">
        <is>
          <t>Hallucination, policy violation, or incorrect compliance guidance exceeds 5.0% of QA audit sample</t>
        </is>
      </c>
      <c r="D14" s="9" t="inlineStr">
        <is>
          <t>Weekly / Monthly</t>
        </is>
      </c>
      <c r="E14" s="7" t="inlineStr">
        <is>
          <t>AI Safety &amp; Product Lead</t>
        </is>
      </c>
      <c r="F14" s="10" t="inlineStr">
        <is>
          <t>Immediate prompt rollback or hotfix. Review few-shot guardrails and enforce strict deterministic tool call schema. Escalate high-risk compliance topics straight to human specialists.</t>
        </is>
      </c>
      <c r="G14" s="66" t="inlineStr">
        <is>
          <t>Critical</t>
        </is>
      </c>
    </row>
    <row r="16" ht="22" customHeight="1">
      <c r="A16" s="5" t="inlineStr">
        <is>
          <t>2. LIVE AUDIT METRIC BASELINE vs THRESHOLD BENCHMARKS</t>
        </is>
      </c>
    </row>
    <row r="17" ht="24" customHeight="1">
      <c r="A17" s="3" t="inlineStr">
        <is>
          <t>Metric Description</t>
        </is>
      </c>
      <c r="B17" s="3" t="inlineStr">
        <is>
          <t>Model Baseline (Expected)</t>
        </is>
      </c>
      <c r="C17" s="3" t="inlineStr">
        <is>
          <t>Audit Alert Threshold</t>
        </is>
      </c>
      <c r="D17" s="3" t="inlineStr">
        <is>
          <t>Variance Buffer</t>
        </is>
      </c>
      <c r="E17" s="3" t="inlineStr">
        <is>
          <t>Source Reference</t>
        </is>
      </c>
      <c r="F17" s="3" t="inlineStr">
        <is>
          <t>Automated Alert Action</t>
        </is>
      </c>
    </row>
    <row r="18" ht="20" customHeight="1">
      <c r="A18" s="13" t="inlineStr">
        <is>
          <t>Monthly AI API Expenditure</t>
        </is>
      </c>
      <c r="B18" s="43">
        <f>Cost!E21</f>
        <v/>
      </c>
      <c r="C18" s="45" t="n">
        <v>15000</v>
      </c>
      <c r="D18" s="44">
        <f>C18-B18</f>
        <v/>
      </c>
      <c r="E18" s="41">
        <f>Cost!E21</f>
        <v/>
      </c>
      <c r="F18" s="10" t="inlineStr">
        <is>
          <t>Finance alert when invoice projection hits ₹13.5k (90%)</t>
        </is>
      </c>
    </row>
    <row r="19" ht="20" customHeight="1">
      <c r="A19" s="13" t="inlineStr">
        <is>
          <t>Daily Average API Spend</t>
        </is>
      </c>
      <c r="B19" s="43">
        <f>Cost!E21/30</f>
        <v/>
      </c>
      <c r="C19" s="44" t="n">
        <v>400</v>
      </c>
      <c r="D19" s="44">
        <f>C19-B19</f>
        <v/>
      </c>
      <c r="E19" s="41">
        <f>(Cost!E21/30)</f>
        <v/>
      </c>
      <c r="F19" s="10" t="inlineStr">
        <is>
          <t>Automated daily Slack webhook alert if spend &gt; ₹400 / day</t>
        </is>
      </c>
    </row>
    <row r="20" ht="20" customHeight="1">
      <c r="A20" s="13" t="inlineStr">
        <is>
          <t>Cost per Customer Conversation</t>
        </is>
      </c>
      <c r="B20" s="43">
        <f>Cost!C17</f>
        <v/>
      </c>
      <c r="C20" s="44" t="n">
        <v>4</v>
      </c>
      <c r="D20" s="44">
        <f>C20-B20</f>
        <v/>
      </c>
      <c r="E20" s="41">
        <f>Cost!C17</f>
        <v/>
      </c>
      <c r="F20" s="10" t="inlineStr">
        <is>
          <t>Engineering flag if weekly average cost &gt; ₹4.00 / conversation</t>
        </is>
      </c>
    </row>
    <row r="21" ht="20" customHeight="1">
      <c r="A21" s="13" t="inlineStr">
        <is>
          <t>Tokens per Customer Conversation</t>
        </is>
      </c>
      <c r="B21" s="38">
        <f>Cost!C10</f>
        <v/>
      </c>
      <c r="C21" s="31" t="n">
        <v>40000</v>
      </c>
      <c r="D21" s="31">
        <f>C21-B21</f>
        <v/>
      </c>
      <c r="E21" s="41">
        <f>Cost!C10</f>
        <v/>
      </c>
      <c r="F21" s="10" t="inlineStr">
        <is>
          <t>Real-time context window truncation and human handoff</t>
        </is>
      </c>
    </row>
    <row r="22" ht="20" customHeight="1">
      <c r="A22" s="13" t="inlineStr">
        <is>
          <t>Monthly Inbound Conversations / Biz</t>
        </is>
      </c>
      <c r="B22" s="67">
        <f>Volume!E8/Assumptions!C6</f>
        <v/>
      </c>
      <c r="C22" s="31" t="n">
        <v>30</v>
      </c>
      <c r="D22" s="42">
        <f>C22-B22</f>
        <v/>
      </c>
      <c r="E22" s="41">
        <f>Assumptions!C47</f>
        <v/>
      </c>
      <c r="F22" s="10" t="inlineStr">
        <is>
          <t>Fair-use account throttle &amp; concierge contact</t>
        </is>
      </c>
    </row>
    <row r="23" ht="20" customHeight="1">
      <c r="A23" s="13" t="inlineStr">
        <is>
          <t>Month-3 Target Resolution Rate</t>
        </is>
      </c>
      <c r="B23" s="39">
        <f>Assumptions!C11</f>
        <v/>
      </c>
      <c r="C23" s="30" t="n">
        <v>0.3</v>
      </c>
      <c r="D23" s="30">
        <f>B23-C23</f>
        <v/>
      </c>
      <c r="E23" s="41">
        <f>Assumptions!C11</f>
        <v/>
      </c>
      <c r="F23" s="10" t="inlineStr">
        <is>
          <t>Prompt triage &amp; intent cluster expansion if res &lt; 30%</t>
        </is>
      </c>
    </row>
  </sheetData>
  <mergeCells count="4">
    <mergeCell ref="A16:F16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2026-10-15T09:17:46Z</dcterms:created>
  <dcterms:modified xsi:type="dcterms:W3CDTF">2026-10-15T09:17:46Z</dcterms:modified>
</cp:coreProperties>
</file>